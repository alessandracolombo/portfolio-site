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lessandracolombo/Library/Mobile Documents/com~apple~CloudDocs/AA GSAPP/AA YEAR 2 /SEM 2/Energy and Sustainable Development/FINAL SUBMISSION/"/>
    </mc:Choice>
  </mc:AlternateContent>
  <xr:revisionPtr revIDLastSave="0" documentId="13_ncr:1_{B9885D62-DB5B-9F41-94F2-C0A0BE3E72EB}" xr6:coauthVersionLast="47" xr6:coauthVersionMax="47" xr10:uidLastSave="{00000000-0000-0000-0000-000000000000}"/>
  <bookViews>
    <workbookView xWindow="0" yWindow="760" windowWidth="30240" windowHeight="17520" tabRatio="500" activeTab="3" xr2:uid="{00000000-000D-0000-FFFF-FFFF00000000}"/>
  </bookViews>
  <sheets>
    <sheet name="Assumptions" sheetId="1" r:id="rId1"/>
    <sheet name="Financing Plan" sheetId="2" r:id="rId2"/>
    <sheet name="Break-Even" sheetId="4" r:id="rId3"/>
    <sheet name="Pro Forma P&amp;L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3" l="1"/>
  <c r="AF24" i="3" s="1"/>
  <c r="AE16" i="3"/>
  <c r="AE24" i="3" s="1"/>
  <c r="AD16" i="3"/>
  <c r="AD24" i="3" s="1"/>
  <c r="AC16" i="3"/>
  <c r="AC24" i="3" s="1"/>
  <c r="AB16" i="3"/>
  <c r="AB24" i="3" s="1"/>
  <c r="AA16" i="3"/>
  <c r="AA24" i="3" s="1"/>
  <c r="Z16" i="3"/>
  <c r="Z24" i="3" s="1"/>
  <c r="Y16" i="3"/>
  <c r="Y24" i="3" s="1"/>
  <c r="X16" i="3"/>
  <c r="X24" i="3" s="1"/>
  <c r="W16" i="3"/>
  <c r="W24" i="3" s="1"/>
  <c r="V16" i="3"/>
  <c r="V24" i="3" s="1"/>
  <c r="U16" i="3"/>
  <c r="U24" i="3" s="1"/>
  <c r="T16" i="3"/>
  <c r="T24" i="3" s="1"/>
  <c r="S16" i="3"/>
  <c r="S24" i="3" s="1"/>
  <c r="R16" i="3"/>
  <c r="R24" i="3" s="1"/>
  <c r="C13" i="3"/>
  <c r="C12" i="3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C11" i="3"/>
  <c r="D11" i="3" s="1"/>
  <c r="B15" i="2"/>
  <c r="B9" i="2"/>
  <c r="B6" i="2"/>
  <c r="B68" i="1"/>
  <c r="B58" i="1"/>
  <c r="B44" i="1"/>
  <c r="C6" i="3" s="1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B30" i="1"/>
  <c r="B5" i="4" s="1"/>
  <c r="B21" i="1"/>
  <c r="B16" i="4" s="1"/>
  <c r="B17" i="4" s="1"/>
  <c r="B12" i="1"/>
  <c r="B50" i="1" s="1"/>
  <c r="B49" i="1" s="1"/>
  <c r="B51" i="1" s="1"/>
  <c r="B9" i="1"/>
  <c r="C4" i="3" s="1"/>
  <c r="B7" i="1"/>
  <c r="D4" i="3" l="1"/>
  <c r="C7" i="3"/>
  <c r="E11" i="3"/>
  <c r="D13" i="3"/>
  <c r="B52" i="1"/>
  <c r="B53" i="1"/>
  <c r="B20" i="2"/>
  <c r="B66" i="1"/>
  <c r="B5" i="2"/>
  <c r="B7" i="2" s="1"/>
  <c r="B6" i="4"/>
  <c r="B11" i="2" l="1"/>
  <c r="B8" i="2"/>
  <c r="B7" i="4"/>
  <c r="B54" i="1"/>
  <c r="F11" i="3"/>
  <c r="E13" i="3"/>
  <c r="E4" i="3"/>
  <c r="D7" i="3"/>
  <c r="F4" i="3" l="1"/>
  <c r="E7" i="3"/>
  <c r="F13" i="3"/>
  <c r="G11" i="3"/>
  <c r="B10" i="2"/>
  <c r="B14" i="2" s="1"/>
  <c r="B16" i="2" s="1"/>
  <c r="C5" i="3"/>
  <c r="B55" i="1"/>
  <c r="B19" i="2" s="1"/>
  <c r="C20" i="3"/>
  <c r="M16" i="3" l="1"/>
  <c r="L16" i="3"/>
  <c r="K16" i="3"/>
  <c r="H16" i="3"/>
  <c r="G16" i="3"/>
  <c r="N16" i="3"/>
  <c r="J16" i="3"/>
  <c r="I16" i="3"/>
  <c r="F16" i="3"/>
  <c r="E16" i="3"/>
  <c r="D16" i="3"/>
  <c r="C16" i="3"/>
  <c r="Q16" i="3"/>
  <c r="P16" i="3"/>
  <c r="O16" i="3"/>
  <c r="B8" i="4"/>
  <c r="B21" i="2"/>
  <c r="C8" i="3"/>
  <c r="D5" i="3"/>
  <c r="G13" i="3"/>
  <c r="H11" i="3"/>
  <c r="G4" i="3"/>
  <c r="F7" i="3"/>
  <c r="H4" i="3" l="1"/>
  <c r="G7" i="3"/>
  <c r="I11" i="3"/>
  <c r="H13" i="3"/>
  <c r="D8" i="3"/>
  <c r="E5" i="3"/>
  <c r="C25" i="3"/>
  <c r="C15" i="3"/>
  <c r="C17" i="3" s="1"/>
  <c r="B9" i="4"/>
  <c r="B10" i="4" s="1"/>
  <c r="B22" i="2"/>
  <c r="B23" i="2" s="1"/>
  <c r="F5" i="3" l="1"/>
  <c r="E8" i="3"/>
  <c r="I13" i="3"/>
  <c r="J11" i="3"/>
  <c r="I4" i="3"/>
  <c r="H7" i="3"/>
  <c r="B11" i="4"/>
  <c r="C21" i="3"/>
  <c r="C22" i="3" s="1"/>
  <c r="C23" i="3"/>
  <c r="C24" i="3"/>
  <c r="D25" i="3"/>
  <c r="D15" i="3"/>
  <c r="D17" i="3" l="1"/>
  <c r="D21" i="3" s="1"/>
  <c r="D24" i="3"/>
  <c r="E25" i="3"/>
  <c r="E15" i="3"/>
  <c r="E23" i="3"/>
  <c r="D23" i="3"/>
  <c r="D22" i="3"/>
  <c r="J4" i="3"/>
  <c r="I7" i="3"/>
  <c r="J13" i="3"/>
  <c r="K11" i="3"/>
  <c r="G5" i="3"/>
  <c r="F8" i="3"/>
  <c r="L11" i="3" l="1"/>
  <c r="K13" i="3"/>
  <c r="F15" i="3"/>
  <c r="F25" i="3"/>
  <c r="H5" i="3"/>
  <c r="G8" i="3"/>
  <c r="J7" i="3"/>
  <c r="K4" i="3"/>
  <c r="E17" i="3"/>
  <c r="E21" i="3" s="1"/>
  <c r="E22" i="3" s="1"/>
  <c r="E24" i="3"/>
  <c r="L4" i="3" l="1"/>
  <c r="K7" i="3"/>
  <c r="G25" i="3"/>
  <c r="G15" i="3"/>
  <c r="G23" i="3"/>
  <c r="I5" i="3"/>
  <c r="H8" i="3"/>
  <c r="F17" i="3"/>
  <c r="F21" i="3" s="1"/>
  <c r="F22" i="3" s="1"/>
  <c r="F24" i="3"/>
  <c r="F23" i="3"/>
  <c r="M11" i="3"/>
  <c r="L13" i="3"/>
  <c r="N11" i="3" l="1"/>
  <c r="M13" i="3"/>
  <c r="J5" i="3"/>
  <c r="I8" i="3"/>
  <c r="M4" i="3"/>
  <c r="L7" i="3"/>
  <c r="H25" i="3"/>
  <c r="H15" i="3"/>
  <c r="H23" i="3" s="1"/>
  <c r="G17" i="3"/>
  <c r="G21" i="3" s="1"/>
  <c r="G22" i="3" s="1"/>
  <c r="G24" i="3"/>
  <c r="H17" i="3" l="1"/>
  <c r="H21" i="3" s="1"/>
  <c r="H22" i="3" s="1"/>
  <c r="H24" i="3"/>
  <c r="K5" i="3"/>
  <c r="J8" i="3"/>
  <c r="N4" i="3"/>
  <c r="M7" i="3"/>
  <c r="I25" i="3"/>
  <c r="I15" i="3"/>
  <c r="O11" i="3"/>
  <c r="N13" i="3"/>
  <c r="B12" i="4" l="1"/>
  <c r="I17" i="3"/>
  <c r="I21" i="3" s="1"/>
  <c r="I22" i="3" s="1"/>
  <c r="I24" i="3"/>
  <c r="I23" i="3"/>
  <c r="P11" i="3"/>
  <c r="O13" i="3"/>
  <c r="N7" i="3"/>
  <c r="O4" i="3"/>
  <c r="J25" i="3"/>
  <c r="J15" i="3"/>
  <c r="L5" i="3"/>
  <c r="K8" i="3"/>
  <c r="K25" i="3" l="1"/>
  <c r="K15" i="3"/>
  <c r="J17" i="3"/>
  <c r="J21" i="3" s="1"/>
  <c r="J22" i="3" s="1"/>
  <c r="J24" i="3"/>
  <c r="L8" i="3"/>
  <c r="M5" i="3"/>
  <c r="J23" i="3"/>
  <c r="O7" i="3"/>
  <c r="P4" i="3"/>
  <c r="Q11" i="3"/>
  <c r="P13" i="3"/>
  <c r="P7" i="3" l="1"/>
  <c r="Q4" i="3"/>
  <c r="N5" i="3"/>
  <c r="M8" i="3"/>
  <c r="R11" i="3"/>
  <c r="Q13" i="3"/>
  <c r="L15" i="3"/>
  <c r="L23" i="3"/>
  <c r="L25" i="3"/>
  <c r="K17" i="3"/>
  <c r="K21" i="3" s="1"/>
  <c r="K22" i="3" s="1"/>
  <c r="K24" i="3"/>
  <c r="K23" i="3"/>
  <c r="L17" i="3" l="1"/>
  <c r="L21" i="3" s="1"/>
  <c r="L22" i="3" s="1"/>
  <c r="L24" i="3"/>
  <c r="S11" i="3"/>
  <c r="R13" i="3"/>
  <c r="M25" i="3"/>
  <c r="M15" i="3"/>
  <c r="N8" i="3"/>
  <c r="O5" i="3"/>
  <c r="R4" i="3"/>
  <c r="Q7" i="3"/>
  <c r="O8" i="3" l="1"/>
  <c r="P5" i="3"/>
  <c r="S13" i="3"/>
  <c r="T11" i="3"/>
  <c r="R7" i="3"/>
  <c r="S4" i="3"/>
  <c r="N25" i="3"/>
  <c r="N15" i="3"/>
  <c r="M17" i="3"/>
  <c r="M21" i="3" s="1"/>
  <c r="M22" i="3" s="1"/>
  <c r="M24" i="3"/>
  <c r="M23" i="3"/>
  <c r="N17" i="3" l="1"/>
  <c r="N21" i="3" s="1"/>
  <c r="N22" i="3" s="1"/>
  <c r="N24" i="3"/>
  <c r="N23" i="3"/>
  <c r="T4" i="3"/>
  <c r="S7" i="3"/>
  <c r="T13" i="3"/>
  <c r="U11" i="3"/>
  <c r="P8" i="3"/>
  <c r="Q5" i="3"/>
  <c r="O25" i="3"/>
  <c r="O15" i="3"/>
  <c r="P25" i="3" l="1"/>
  <c r="P15" i="3"/>
  <c r="R5" i="3"/>
  <c r="Q8" i="3"/>
  <c r="V11" i="3"/>
  <c r="U13" i="3"/>
  <c r="O17" i="3"/>
  <c r="O21" i="3" s="1"/>
  <c r="O22" i="3" s="1"/>
  <c r="O24" i="3"/>
  <c r="O23" i="3"/>
  <c r="U4" i="3"/>
  <c r="T7" i="3"/>
  <c r="U7" i="3" l="1"/>
  <c r="V4" i="3"/>
  <c r="V13" i="3"/>
  <c r="W11" i="3"/>
  <c r="Q25" i="3"/>
  <c r="Q15" i="3"/>
  <c r="P17" i="3"/>
  <c r="P21" i="3" s="1"/>
  <c r="P22" i="3" s="1"/>
  <c r="P24" i="3"/>
  <c r="R8" i="3"/>
  <c r="S5" i="3"/>
  <c r="P23" i="3"/>
  <c r="R25" i="3" l="1"/>
  <c r="R15" i="3"/>
  <c r="R17" i="3" s="1"/>
  <c r="R21" i="3" s="1"/>
  <c r="Q17" i="3"/>
  <c r="Q21" i="3" s="1"/>
  <c r="Q22" i="3" s="1"/>
  <c r="R22" i="3" s="1"/>
  <c r="Q24" i="3"/>
  <c r="Q23" i="3"/>
  <c r="T5" i="3"/>
  <c r="S8" i="3"/>
  <c r="W13" i="3"/>
  <c r="X11" i="3"/>
  <c r="W4" i="3"/>
  <c r="V7" i="3"/>
  <c r="X4" i="3" l="1"/>
  <c r="W7" i="3"/>
  <c r="T8" i="3"/>
  <c r="U5" i="3"/>
  <c r="Y11" i="3"/>
  <c r="X13" i="3"/>
  <c r="S25" i="3"/>
  <c r="S15" i="3"/>
  <c r="S17" i="3" s="1"/>
  <c r="S21" i="3" s="1"/>
  <c r="S22" i="3" s="1"/>
  <c r="R23" i="3"/>
  <c r="S23" i="3" l="1"/>
  <c r="Z11" i="3"/>
  <c r="Y13" i="3"/>
  <c r="V5" i="3"/>
  <c r="U8" i="3"/>
  <c r="T25" i="3"/>
  <c r="T15" i="3"/>
  <c r="T17" i="3" s="1"/>
  <c r="T21" i="3" s="1"/>
  <c r="T22" i="3" s="1"/>
  <c r="X7" i="3"/>
  <c r="Y4" i="3"/>
  <c r="Y7" i="3" l="1"/>
  <c r="Z4" i="3"/>
  <c r="W5" i="3"/>
  <c r="V8" i="3"/>
  <c r="T23" i="3"/>
  <c r="U15" i="3"/>
  <c r="U17" i="3" s="1"/>
  <c r="U21" i="3" s="1"/>
  <c r="U22" i="3" s="1"/>
  <c r="U25" i="3"/>
  <c r="U23" i="3"/>
  <c r="Z13" i="3"/>
  <c r="AA11" i="3"/>
  <c r="AB11" i="3" l="1"/>
  <c r="AA13" i="3"/>
  <c r="V25" i="3"/>
  <c r="V15" i="3"/>
  <c r="V17" i="3" s="1"/>
  <c r="V21" i="3" s="1"/>
  <c r="V22" i="3" s="1"/>
  <c r="X5" i="3"/>
  <c r="W8" i="3"/>
  <c r="AA4" i="3"/>
  <c r="Z7" i="3"/>
  <c r="AA7" i="3" l="1"/>
  <c r="AB4" i="3"/>
  <c r="X8" i="3"/>
  <c r="Y5" i="3"/>
  <c r="V23" i="3"/>
  <c r="W25" i="3"/>
  <c r="W15" i="3"/>
  <c r="W17" i="3" s="1"/>
  <c r="W21" i="3" s="1"/>
  <c r="W22" i="3" s="1"/>
  <c r="W23" i="3"/>
  <c r="AC11" i="3"/>
  <c r="AB13" i="3"/>
  <c r="AD11" i="3" l="1"/>
  <c r="AC13" i="3"/>
  <c r="Z5" i="3"/>
  <c r="Y8" i="3"/>
  <c r="X25" i="3"/>
  <c r="X15" i="3"/>
  <c r="X17" i="3" s="1"/>
  <c r="X21" i="3" s="1"/>
  <c r="X22" i="3" s="1"/>
  <c r="X23" i="3"/>
  <c r="AB7" i="3"/>
  <c r="AC4" i="3"/>
  <c r="AC7" i="3" l="1"/>
  <c r="AD4" i="3"/>
  <c r="Y25" i="3"/>
  <c r="Y15" i="3"/>
  <c r="Y17" i="3" s="1"/>
  <c r="Y21" i="3" s="1"/>
  <c r="Y22" i="3" s="1"/>
  <c r="Y23" i="3"/>
  <c r="Z8" i="3"/>
  <c r="AA5" i="3"/>
  <c r="AE11" i="3"/>
  <c r="AD13" i="3"/>
  <c r="AF11" i="3" l="1"/>
  <c r="AF13" i="3" s="1"/>
  <c r="AE13" i="3"/>
  <c r="AA8" i="3"/>
  <c r="AB5" i="3"/>
  <c r="Z25" i="3"/>
  <c r="Z15" i="3"/>
  <c r="Z17" i="3" s="1"/>
  <c r="Z21" i="3" s="1"/>
  <c r="Z22" i="3" s="1"/>
  <c r="AD7" i="3"/>
  <c r="AE4" i="3"/>
  <c r="AE7" i="3" l="1"/>
  <c r="AF4" i="3"/>
  <c r="AF7" i="3" s="1"/>
  <c r="Z23" i="3"/>
  <c r="AC5" i="3"/>
  <c r="AB8" i="3"/>
  <c r="AA25" i="3"/>
  <c r="AA15" i="3"/>
  <c r="AA17" i="3" s="1"/>
  <c r="AA21" i="3" s="1"/>
  <c r="AA22" i="3" s="1"/>
  <c r="AB15" i="3" l="1"/>
  <c r="AB17" i="3" s="1"/>
  <c r="AB21" i="3" s="1"/>
  <c r="AB22" i="3" s="1"/>
  <c r="AB25" i="3"/>
  <c r="AA23" i="3"/>
  <c r="AD5" i="3"/>
  <c r="AC8" i="3"/>
  <c r="AD8" i="3" l="1"/>
  <c r="AE5" i="3"/>
  <c r="AB23" i="3"/>
  <c r="AC25" i="3"/>
  <c r="AC15" i="3"/>
  <c r="AC17" i="3" s="1"/>
  <c r="AC21" i="3" s="1"/>
  <c r="AC22" i="3" s="1"/>
  <c r="AC23" i="3" l="1"/>
  <c r="AE8" i="3"/>
  <c r="AF5" i="3"/>
  <c r="AF8" i="3" s="1"/>
  <c r="AD25" i="3"/>
  <c r="AD15" i="3"/>
  <c r="AD17" i="3" s="1"/>
  <c r="AD21" i="3" s="1"/>
  <c r="AD22" i="3" s="1"/>
  <c r="AD23" i="3" l="1"/>
  <c r="AF25" i="3"/>
  <c r="AF15" i="3"/>
  <c r="AF17" i="3" s="1"/>
  <c r="AF21" i="3" s="1"/>
  <c r="AE25" i="3"/>
  <c r="AE15" i="3"/>
  <c r="AE17" i="3" s="1"/>
  <c r="AE21" i="3" s="1"/>
  <c r="AE22" i="3" s="1"/>
  <c r="AF22" i="3" s="1"/>
  <c r="AE23" i="3" l="1"/>
  <c r="AF23" i="3"/>
</calcChain>
</file>

<file path=xl/sharedStrings.xml><?xml version="1.0" encoding="utf-8"?>
<sst xmlns="http://schemas.openxmlformats.org/spreadsheetml/2006/main" count="279" uniqueCount="230">
  <si>
    <t>Indonesia | 1MW Heat-First Geothermal Enterprise</t>
  </si>
  <si>
    <t>PRODUCT AND SERVICE</t>
  </si>
  <si>
    <t>Product</t>
  </si>
  <si>
    <t>Geothermal heat services + electricity</t>
  </si>
  <si>
    <t>Heat-first model: primary revenue from coffee drying, cold storage and agro-processing using direct geothermal heat (based on Kamojang GCP model). Secondary revenue from 1 MW binary electricity generation for local community and PLN.</t>
  </si>
  <si>
    <t>Binary generator size</t>
  </si>
  <si>
    <t>MW</t>
  </si>
  <si>
    <t>Number of units</t>
  </si>
  <si>
    <t>units</t>
  </si>
  <si>
    <t>Phase 1 deployment. Can add units if heat demand and resource confirm.</t>
  </si>
  <si>
    <t>Total installed capacity</t>
  </si>
  <si>
    <t>Module size x number of units.</t>
  </si>
  <si>
    <t>Capacity factor</t>
  </si>
  <si>
    <t>Based on geothermal benchmarks (80-90% typical, IEA/IRENA). 85% is global average.</t>
  </si>
  <si>
    <t>Annual generation (GWh)</t>
  </si>
  <si>
    <t>GWh</t>
  </si>
  <si>
    <t>Total capacity x CF x 8,760 hrs / 1,000.</t>
  </si>
  <si>
    <t>Households served</t>
  </si>
  <si>
    <t>households</t>
  </si>
  <si>
    <t>Household consumption</t>
  </si>
  <si>
    <t>kWh/yr</t>
  </si>
  <si>
    <t>Approximate annual electricity use per household; based on Indonesia per-capita consumption (around 300/400) converted to household level.</t>
  </si>
  <si>
    <t>Community demand (GWh)</t>
  </si>
  <si>
    <t>Households x consumption / 1,000,000.</t>
  </si>
  <si>
    <t>CAPEX</t>
  </si>
  <si>
    <t>Exploration &amp; confirmation</t>
  </si>
  <si>
    <t>USD</t>
  </si>
  <si>
    <t>Drilling (per MW)</t>
  </si>
  <si>
    <t>USD/MW</t>
  </si>
  <si>
    <t>Shallower wells targeting medium-enthalpy resources (80-150C). Can use existing non-productive wells near known fields (Wayang Windu, Kamojang). Lower than $1.5M+/MW for deep production wells.</t>
  </si>
  <si>
    <t>Binary plant EPC (per MW)</t>
  </si>
  <si>
    <t>Small-scale binary (ORC) plant. Based on Castlerock Consulting estimates adapted for smaller scale.</t>
  </si>
  <si>
    <t>Heat infrastructure</t>
  </si>
  <si>
    <t>Geothermal Dry House for coffee drying (Kamojang GCP model), absorption chiller for cold storage, heat exchangers, piping. This is the core of the heat-first enterprise.</t>
  </si>
  <si>
    <t>Local grid connection</t>
  </si>
  <si>
    <t>Smaller connection — serving local community, not long-distance PLN transmission.</t>
  </si>
  <si>
    <t>Environmental &amp; social impact</t>
  </si>
  <si>
    <t>Required for permitting and financing; standard. Lower for smaller scale.</t>
  </si>
  <si>
    <t>Total CapEx</t>
  </si>
  <si>
    <t>~80% lower CapEx than 5 MW electricity-first model ($24.5M).</t>
  </si>
  <si>
    <t>OPERATING COSTS (OPEX)</t>
  </si>
  <si>
    <t>Fixed O&amp;M (per MW/yr)</t>
  </si>
  <si>
    <t>USD/MW/yr</t>
  </si>
  <si>
    <t>IRENA benchmark ($80k-120k/MW/yr).</t>
  </si>
  <si>
    <t>Insurance</t>
  </si>
  <si>
    <t>USD/yr</t>
  </si>
  <si>
    <t>Scaled for smaller plant.</t>
  </si>
  <si>
    <t>Land lease &amp; community payments</t>
  </si>
  <si>
    <t>Compensation to local stakeholders; social license.</t>
  </si>
  <si>
    <t>Management &amp; admin</t>
  </si>
  <si>
    <t>Heat facility operations</t>
  </si>
  <si>
    <t>Running costs for drying facility, cold storage, absorption chiller. New line for heat-first model.</t>
  </si>
  <si>
    <t>Variable OpEx</t>
  </si>
  <si>
    <t>Total OpEx</t>
  </si>
  <si>
    <t>FINANCING &amp; COST OF CAPITAL</t>
  </si>
  <si>
    <t>Debt share</t>
  </si>
  <si>
    <t>Typical project finance structure.</t>
  </si>
  <si>
    <t>Equity share</t>
  </si>
  <si>
    <t>Developer/investor contribution.</t>
  </si>
  <si>
    <t>Senior debt interest rate</t>
  </si>
  <si>
    <t>Concessional finance benchmarks (ADB, World Bank).</t>
  </si>
  <si>
    <t>Loan length</t>
  </si>
  <si>
    <t>years</t>
  </si>
  <si>
    <t>Seems standard for geothermal.</t>
  </si>
  <si>
    <t>Target IRR</t>
  </si>
  <si>
    <t>Expected return for private investors.</t>
  </si>
  <si>
    <t>WACC</t>
  </si>
  <si>
    <t>Blended concessional + commercial capital.</t>
  </si>
  <si>
    <t>HEAT SERVICES REVENUE</t>
  </si>
  <si>
    <t>Coffee drying revenue</t>
  </si>
  <si>
    <t>Cold storage revenue</t>
  </si>
  <si>
    <t>Absorption chiller powered by geothermal heat. Reduces post-harvest losses from 30-40% to &lt;10% (FAO). ~50-ton capacity. Farmers can sell when prices are better, not at harvest glut. Strong social impact.</t>
  </si>
  <si>
    <t>Agro-processing &amp; other</t>
  </si>
  <si>
    <t>Tea drying (Wayang Windu precedent), cocoa, spice drying, rice drying. Also egg-hatching incubators, mushroom cultivation sterilization (already at Kamojang).</t>
  </si>
  <si>
    <t>Total heat services revenue</t>
  </si>
  <si>
    <t>ELECTRICITY REVENUE</t>
  </si>
  <si>
    <t>PLN tariff</t>
  </si>
  <si>
    <t>USD/kWh</t>
  </si>
  <si>
    <t>PR 112/2022 ceiling for &lt;10 MW: 9.76 cents/kWh x location factor. F=1.00 for Java (conservative). Draft tariffs propose $0.145 for 1-10 MW plants.</t>
  </si>
  <si>
    <t>Community tariff</t>
  </si>
  <si>
    <t>Affordability focus. HH currently spend ~$325/yr on diesel ($0.25/kWh). At $0.06: ~$78/yr — 76% savings. 500 HH: $162,500 diesel to ~$39,000.</t>
  </si>
  <si>
    <t>% generation sold to PLN</t>
  </si>
  <si>
    <t>% generation sold to community</t>
  </si>
  <si>
    <t>Blended electricity tariff</t>
  </si>
  <si>
    <t>PLN revenue (Year 1)</t>
  </si>
  <si>
    <t>Community revenue (Year 1)</t>
  </si>
  <si>
    <t>Total electricity revenue (Yr 1)</t>
  </si>
  <si>
    <t>Total revenue Yr 1 (heat+elec)</t>
  </si>
  <si>
    <t>COST &amp; AFFORDABILITY</t>
  </si>
  <si>
    <t>Discount rate</t>
  </si>
  <si>
    <t>Plant life</t>
  </si>
  <si>
    <t>MEMR Reg 5/2025 sets PPA max 30 years for geothermal. IRENA confirms 30+ yr lifespans.</t>
  </si>
  <si>
    <t>SUBSIDIES &amp; INCENTIVES</t>
  </si>
  <si>
    <t>Exploration grant</t>
  </si>
  <si>
    <t>De-risking for known sites. Lower than 5MW model — exploration risk is lower targeting surface manifestations.</t>
  </si>
  <si>
    <t>Concessional loan</t>
  </si>
  <si>
    <t>ADB / World Bank / Climate Fund. Scaled for smaller project.</t>
  </si>
  <si>
    <t>Carbon price</t>
  </si>
  <si>
    <t>USD/tCO2</t>
  </si>
  <si>
    <t>IDX Carbon ~$4 domestic. International buyers (Verra/Gold Standard) could pay $15-20. At $15: carbon rev +50%. At $20: doubles.</t>
  </si>
  <si>
    <t>Emission factor displaced</t>
  </si>
  <si>
    <t>tCO2/MWh</t>
  </si>
  <si>
    <t>Annual carbon revenue</t>
  </si>
  <si>
    <t>Interest rate buy-down</t>
  </si>
  <si>
    <t>Not 100% sure about this.</t>
  </si>
  <si>
    <t>Total grant/subsidy (one-time)</t>
  </si>
  <si>
    <t>GROWTH PLAN</t>
  </si>
  <si>
    <t>Annual tariff escalation</t>
  </si>
  <si>
    <t>Inflation and increasing energy demand.</t>
  </si>
  <si>
    <t>Annual generation degradation</t>
  </si>
  <si>
    <t>Estimate of declining output over time.</t>
  </si>
  <si>
    <t>Annual OpEx escalation</t>
  </si>
  <si>
    <t>Cost inflation assumption.</t>
  </si>
  <si>
    <t>Annual heat revenue growth</t>
  </si>
  <si>
    <t>Heat services grow as more farmers adopt, new crops added. 3% conservative.</t>
  </si>
  <si>
    <t>Financing Plan</t>
  </si>
  <si>
    <t>Financing Item</t>
  </si>
  <si>
    <t>Amount (USD)</t>
  </si>
  <si>
    <t>Notes</t>
  </si>
  <si>
    <t>CAPITAL STACK</t>
  </si>
  <si>
    <t>Less: Exploration grant</t>
  </si>
  <si>
    <t>Net CapEx to finance</t>
  </si>
  <si>
    <t>Debt (70%)</t>
  </si>
  <si>
    <t xml:space="preserve">  Concessional loan</t>
  </si>
  <si>
    <t xml:space="preserve">  Commercial debt</t>
  </si>
  <si>
    <t>Equity (30%)</t>
  </si>
  <si>
    <t>DEBT SERVICE</t>
  </si>
  <si>
    <t>Blended interest rate</t>
  </si>
  <si>
    <t>Loan term</t>
  </si>
  <si>
    <t>Annual debt payment</t>
  </si>
  <si>
    <t>YEAR 1 RETURN</t>
  </si>
  <si>
    <t>Year 1 Total Revenue</t>
  </si>
  <si>
    <t>Heat + electricity + carbon.</t>
  </si>
  <si>
    <t>Year 1 OpEx</t>
  </si>
  <si>
    <t>Year 1 EBITDA</t>
  </si>
  <si>
    <t>Year 1 Net Income</t>
  </si>
  <si>
    <t>Cash-on-Cash Return</t>
  </si>
  <si>
    <t>Field</t>
  </si>
  <si>
    <t>Unit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</si>
  <si>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</si>
  <si>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</si>
  <si>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</si>
  <si>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</si>
  <si>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</si>
  <si>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</si>
  <si>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</si>
  <si>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</si>
  <si>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</si>
  <si>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</si>
  <si>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</si>
  <si>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</si>
  <si>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</si>
  <si>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</si>
  <si>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</si>
  <si>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</si>
  <si>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</si>
  <si>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</si>
  <si>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</si>
  <si>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</si>
  <si>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</si>
  <si>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</si>
  <si>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</si>
  <si>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</si>
  <si>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</si>
  <si>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</si>
  <si>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</si>
  <si>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</si>
  <si>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</si>
  <si>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</si>
  <si>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REVENUE</t>
  </si>
  <si>
    <t>Generation (GWh)</t>
  </si>
  <si>
    <t>Electricity Revenue</t>
  </si>
  <si>
    <t>Heat Services Revenue</t>
  </si>
  <si>
    <t>Carbon Credit Revenue</t>
  </si>
  <si>
    <t>TOTAL REVENUE</t>
  </si>
  <si>
    <t>OPERATING EXPENSES</t>
  </si>
  <si>
    <t>Fixed O&amp;M</t>
  </si>
  <si>
    <t>Variable, Admin &amp; Heat Ops</t>
  </si>
  <si>
    <t>TOTAL OPEX</t>
  </si>
  <si>
    <t>EBITDA</t>
  </si>
  <si>
    <t>Debt Service</t>
  </si>
  <si>
    <t>NET INCOME</t>
  </si>
  <si>
    <t>CASH FLOW ANALYSIS</t>
  </si>
  <si>
    <t>Equity Invested (Year 0)</t>
  </si>
  <si>
    <t>Annual Cash Flow to Equity</t>
  </si>
  <si>
    <t>Cumulative Cash Flow</t>
  </si>
  <si>
    <t>EBITDA Margin</t>
  </si>
  <si>
    <t>%</t>
  </si>
  <si>
    <t>DSCR</t>
  </si>
  <si>
    <t>x</t>
  </si>
  <si>
    <t>Heat % of Revenue</t>
  </si>
  <si>
    <t>✓ EQUITY BREAKEVEN</t>
  </si>
  <si>
    <t>✓ LOAN REPAID</t>
  </si>
  <si>
    <t>Break-Even Analysis</t>
  </si>
  <si>
    <t>Metric</t>
  </si>
  <si>
    <t>Value</t>
  </si>
  <si>
    <t>KEY METRICS</t>
  </si>
  <si>
    <t>Annual OpEx</t>
  </si>
  <si>
    <t>Net CapEx (after grant)</t>
  </si>
  <si>
    <t>Year 1 Revenue (incl carbon)</t>
  </si>
  <si>
    <t>Simple payback (net CapEx)</t>
  </si>
  <si>
    <t>Years</t>
  </si>
  <si>
    <t>Payback on equity</t>
  </si>
  <si>
    <t>Equity breakeven year</t>
  </si>
  <si>
    <t>Year</t>
  </si>
  <si>
    <t>VS 5 MW ELECTRICITY-FIRST MODEL</t>
  </si>
  <si>
    <t>5 MW model CapEx</t>
  </si>
  <si>
    <t>This model CapEx</t>
  </si>
  <si>
    <t>CapEx reduction</t>
  </si>
  <si>
    <t>Heat-first = lower CapEx, stronger social impact per dollar invested.</t>
  </si>
  <si>
    <t>Coffee drying (Kamojang GCP) already proven in West Java by Pertamina.</t>
  </si>
  <si>
    <t>Cold storage reduces post-harvest losses from 30-40% to &lt;10% (FAO).</t>
  </si>
  <si>
    <t>Electricity is a side benefit from the same geothermal resource.</t>
  </si>
  <si>
    <t xml:space="preserve">Small modular binary (ORC) unit. Sized to match local demand. Uses lower-enthalpy resources </t>
  </si>
  <si>
    <t>Smaller service area matching heat-first approach. Located near geothermal resource in coffee-growing highland area (e.g. Pangalengan or Kamojang, West Java). Possibility of expanding as scale increases.</t>
  </si>
  <si>
    <t>Lower cost: targeting known surface manifestations and hot springs in West Java (130+ documented). Less risky than deep exploration. West Java has 62.2 MWth documented direct-use potential.</t>
  </si>
  <si>
    <t xml:space="preserve">Based on Kamojang GCP model (Pertamina). GCP processes 20+ tons/season with 80+ farmer partners. Target: 100-150 tons/yr. Geothermal Dry House cuts drying time 3x (full wash: 7-10 days to 2-4 days). Higher quality = premium pricing. ~$0.50/kg fee. Pangalengan produced 6,499 tons coffee in 2014 </t>
  </si>
  <si>
    <t>Total project capital requirement before grant reduction</t>
  </si>
  <si>
    <t>Assumes standard project finance debt share</t>
  </si>
  <si>
    <t>Lower interest rate portion from development finance institutions</t>
  </si>
  <si>
    <t>Developer/investor equity contribution</t>
  </si>
  <si>
    <t>Annual debt service using simple PMT formula</t>
  </si>
  <si>
    <t>Year 1 net income before financing</t>
  </si>
  <si>
    <t>Net CapEx / Year 1 EBITDA (simplified, no escalation)</t>
  </si>
  <si>
    <t>Equity invested / Year 1 net income after debt</t>
  </si>
  <si>
    <t xml:space="preserve">First year cumulative equity cash flow turns positive </t>
  </si>
  <si>
    <t>NOTES</t>
  </si>
  <si>
    <t>Pro Forma — Heat-First 1MW (30-Year)</t>
  </si>
  <si>
    <t>Staffing for heat facility + plant management. Could be local hires. Not 100% sure. Might be lower?</t>
  </si>
  <si>
    <t xml:space="preserve">Buffer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</si>
</sst>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#,##0.0"/>
    <numFmt numFmtId="166" formatCode="0.000"/>
    <numFmt numFmtId="167" formatCode="\$#,##0"/>
    <numFmt numFmtId="168" formatCode="\$#,##0.000"/>
    <numFmt numFmtId="169" formatCode="\$#,##0.00"/>
    <numFmt numFmtId="170" formatCode="0.0"/>
    <numFmt numFmtId="171" formatCode="0&quot; years&quot;"/>
    <numFmt numFmtId="172" formatCode="\$#,##0;&quot;($&quot;#,##0\);\-"/>
    <numFmt numFmtId="173" formatCode="0.00\x"/>
    <numFmt numFmtId="174" formatCode="0.0&quot; years&quot;"/>
  </numFmts>
  <fonts count="8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b/>
      <sz val="11"/>
      <color rgb="FF006100"/>
      <name val="Arial"/>
      <family val="2"/>
    </font>
    <font>
      <sz val="10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FF00"/>
        <bgColor rgb="FFCCFFFF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4" fillId="0" borderId="0" xfId="0" applyNumberFormat="1" applyFont="1"/>
    <xf numFmtId="0" fontId="2" fillId="0" borderId="0" xfId="0" applyFont="1"/>
    <xf numFmtId="167" fontId="2" fillId="0" borderId="1" xfId="0" applyNumberFormat="1" applyFont="1" applyBorder="1"/>
    <xf numFmtId="1" fontId="4" fillId="0" borderId="0" xfId="0" applyNumberFormat="1" applyFont="1"/>
    <xf numFmtId="168" fontId="4" fillId="0" borderId="0" xfId="0" applyNumberFormat="1" applyFont="1"/>
    <xf numFmtId="164" fontId="3" fillId="0" borderId="0" xfId="0" applyNumberFormat="1" applyFont="1"/>
    <xf numFmtId="168" fontId="3" fillId="0" borderId="0" xfId="0" applyNumberFormat="1" applyFont="1"/>
    <xf numFmtId="167" fontId="5" fillId="0" borderId="0" xfId="0" applyNumberFormat="1" applyFont="1"/>
    <xf numFmtId="167" fontId="2" fillId="0" borderId="2" xfId="0" applyNumberFormat="1" applyFont="1" applyBorder="1"/>
    <xf numFmtId="164" fontId="5" fillId="0" borderId="0" xfId="0" applyNumberFormat="1" applyFont="1"/>
    <xf numFmtId="169" fontId="4" fillId="0" borderId="0" xfId="0" applyNumberFormat="1" applyFont="1"/>
    <xf numFmtId="170" fontId="4" fillId="0" borderId="0" xfId="0" applyNumberFormat="1" applyFont="1"/>
    <xf numFmtId="167" fontId="3" fillId="0" borderId="0" xfId="0" applyNumberFormat="1" applyFont="1"/>
    <xf numFmtId="0" fontId="2" fillId="2" borderId="2" xfId="0" applyFont="1" applyFill="1" applyBorder="1"/>
    <xf numFmtId="171" fontId="5" fillId="0" borderId="0" xfId="0" applyNumberFormat="1" applyFont="1"/>
    <xf numFmtId="172" fontId="3" fillId="0" borderId="0" xfId="0" applyNumberFormat="1" applyFont="1"/>
    <xf numFmtId="164" fontId="2" fillId="0" borderId="1" xfId="0" applyNumberFormat="1" applyFont="1" applyBorder="1"/>
    <xf numFmtId="0" fontId="2" fillId="2" borderId="0" xfId="0" applyFont="1" applyFill="1" applyAlignment="1">
      <alignment horizontal="center"/>
    </xf>
    <xf numFmtId="165" fontId="5" fillId="0" borderId="0" xfId="0" applyNumberFormat="1" applyFont="1"/>
    <xf numFmtId="172" fontId="2" fillId="0" borderId="0" xfId="0" applyNumberFormat="1" applyFont="1"/>
    <xf numFmtId="172" fontId="2" fillId="0" borderId="1" xfId="0" applyNumberFormat="1" applyFont="1" applyBorder="1"/>
    <xf numFmtId="172" fontId="5" fillId="0" borderId="0" xfId="0" applyNumberFormat="1" applyFont="1"/>
    <xf numFmtId="172" fontId="2" fillId="0" borderId="2" xfId="0" applyNumberFormat="1" applyFont="1" applyBorder="1"/>
    <xf numFmtId="173" fontId="3" fillId="0" borderId="0" xfId="0" applyNumberFormat="1" applyFont="1"/>
    <xf numFmtId="174" fontId="3" fillId="0" borderId="0" xfId="0" applyNumberFormat="1" applyFont="1"/>
    <xf numFmtId="0" fontId="2" fillId="3" borderId="0" xfId="0" applyFont="1" applyFill="1"/>
    <xf numFmtId="0" fontId="6" fillId="4" borderId="0" xfId="0" applyFont="1" applyFill="1" applyAlignment="1">
      <alignment horizontal="center"/>
    </xf>
    <xf numFmtId="0" fontId="7" fillId="0" borderId="0" xfId="0" applyFont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zoomScaleNormal="100" workbookViewId="0">
      <selection activeCell="D83" sqref="D83"/>
    </sheetView>
  </sheetViews>
  <sheetFormatPr baseColWidth="10" defaultColWidth="8.6640625" defaultRowHeight="15" x14ac:dyDescent="0.2"/>
  <cols>
    <col min="1" max="1" width="38" customWidth="1"/>
    <col min="2" max="2" width="18" customWidth="1"/>
    <col min="3" max="3" width="14" customWidth="1"/>
    <col min="4" max="4" width="80" customWidth="1"/>
  </cols>
  <sheetData>
    <row r="1" spans="1:4" ht="17.25" customHeight="1" x14ac:dyDescent="0.2">
      <c r="A1" s="1" t="s">
        <v>0</v>
      </c>
    </row>
    <row r="3" spans="1:4" ht="15" customHeight="1" x14ac:dyDescent="0.2">
      <c r="A3" s="2" t="s">
        <v>1</v>
      </c>
      <c r="B3" s="3"/>
      <c r="C3" s="3"/>
      <c r="D3" s="3"/>
    </row>
    <row r="4" spans="1:4" ht="15" customHeight="1" x14ac:dyDescent="0.2">
      <c r="A4" s="4" t="s">
        <v>2</v>
      </c>
      <c r="B4" s="5" t="s">
        <v>3</v>
      </c>
      <c r="D4" s="4" t="s">
        <v>4</v>
      </c>
    </row>
    <row r="5" spans="1:4" ht="15" customHeight="1" x14ac:dyDescent="0.2">
      <c r="A5" s="4" t="s">
        <v>5</v>
      </c>
      <c r="B5" s="5">
        <v>1</v>
      </c>
      <c r="C5" s="4" t="s">
        <v>6</v>
      </c>
      <c r="D5" s="4" t="s">
        <v>213</v>
      </c>
    </row>
    <row r="6" spans="1:4" ht="15" customHeight="1" x14ac:dyDescent="0.2">
      <c r="A6" s="4" t="s">
        <v>7</v>
      </c>
      <c r="B6" s="5">
        <v>1</v>
      </c>
      <c r="C6" s="4" t="s">
        <v>8</v>
      </c>
      <c r="D6" s="4" t="s">
        <v>9</v>
      </c>
    </row>
    <row r="7" spans="1:4" ht="15" customHeight="1" x14ac:dyDescent="0.2">
      <c r="A7" s="4" t="s">
        <v>10</v>
      </c>
      <c r="B7" s="4">
        <f>B5*B6</f>
        <v>1</v>
      </c>
      <c r="C7" s="4" t="s">
        <v>6</v>
      </c>
      <c r="D7" s="4" t="s">
        <v>11</v>
      </c>
    </row>
    <row r="8" spans="1:4" ht="15" customHeight="1" x14ac:dyDescent="0.2">
      <c r="A8" s="4" t="s">
        <v>12</v>
      </c>
      <c r="B8" s="6">
        <v>0.85</v>
      </c>
      <c r="D8" s="4" t="s">
        <v>13</v>
      </c>
    </row>
    <row r="9" spans="1:4" ht="15" customHeight="1" x14ac:dyDescent="0.2">
      <c r="A9" s="4" t="s">
        <v>14</v>
      </c>
      <c r="B9" s="7">
        <f>B7*B8*8760/1000</f>
        <v>7.4459999999999997</v>
      </c>
      <c r="C9" s="4" t="s">
        <v>15</v>
      </c>
      <c r="D9" s="4" t="s">
        <v>16</v>
      </c>
    </row>
    <row r="10" spans="1:4" ht="15" customHeight="1" x14ac:dyDescent="0.2">
      <c r="A10" s="4" t="s">
        <v>17</v>
      </c>
      <c r="B10" s="5">
        <v>500</v>
      </c>
      <c r="C10" s="4" t="s">
        <v>18</v>
      </c>
      <c r="D10" s="4" t="s">
        <v>214</v>
      </c>
    </row>
    <row r="11" spans="1:4" ht="15" customHeight="1" x14ac:dyDescent="0.2">
      <c r="A11" s="4" t="s">
        <v>19</v>
      </c>
      <c r="B11" s="5">
        <v>1300</v>
      </c>
      <c r="C11" s="4" t="s">
        <v>20</v>
      </c>
      <c r="D11" s="4" t="s">
        <v>21</v>
      </c>
    </row>
    <row r="12" spans="1:4" ht="15" customHeight="1" x14ac:dyDescent="0.2">
      <c r="A12" s="4" t="s">
        <v>22</v>
      </c>
      <c r="B12" s="8">
        <f>B10*B11/1000000</f>
        <v>0.65</v>
      </c>
      <c r="C12" s="4" t="s">
        <v>15</v>
      </c>
      <c r="D12" s="4" t="s">
        <v>23</v>
      </c>
    </row>
    <row r="14" spans="1:4" ht="15" customHeight="1" x14ac:dyDescent="0.2">
      <c r="A14" s="2" t="s">
        <v>24</v>
      </c>
      <c r="B14" s="3"/>
      <c r="C14" s="3"/>
      <c r="D14" s="3"/>
    </row>
    <row r="15" spans="1:4" ht="15" customHeight="1" x14ac:dyDescent="0.2">
      <c r="A15" s="4" t="s">
        <v>25</v>
      </c>
      <c r="B15" s="9">
        <v>500000</v>
      </c>
      <c r="C15" s="4" t="s">
        <v>26</v>
      </c>
      <c r="D15" s="4" t="s">
        <v>215</v>
      </c>
    </row>
    <row r="16" spans="1:4" ht="15" customHeight="1" x14ac:dyDescent="0.2">
      <c r="A16" s="4" t="s">
        <v>27</v>
      </c>
      <c r="B16" s="9">
        <v>750000</v>
      </c>
      <c r="C16" s="4" t="s">
        <v>28</v>
      </c>
      <c r="D16" s="4" t="s">
        <v>29</v>
      </c>
    </row>
    <row r="17" spans="1:4" ht="15" customHeight="1" x14ac:dyDescent="0.2">
      <c r="A17" s="4" t="s">
        <v>30</v>
      </c>
      <c r="B17" s="9">
        <v>2000000</v>
      </c>
      <c r="C17" s="4" t="s">
        <v>28</v>
      </c>
      <c r="D17" s="4" t="s">
        <v>31</v>
      </c>
    </row>
    <row r="18" spans="1:4" ht="15" customHeight="1" x14ac:dyDescent="0.2">
      <c r="A18" s="4" t="s">
        <v>32</v>
      </c>
      <c r="B18" s="9">
        <v>1000000</v>
      </c>
      <c r="C18" s="4" t="s">
        <v>26</v>
      </c>
      <c r="D18" s="4" t="s">
        <v>33</v>
      </c>
    </row>
    <row r="19" spans="1:4" ht="15" customHeight="1" x14ac:dyDescent="0.2">
      <c r="A19" s="4" t="s">
        <v>34</v>
      </c>
      <c r="B19" s="9">
        <v>300000</v>
      </c>
      <c r="C19" s="4" t="s">
        <v>26</v>
      </c>
      <c r="D19" s="4" t="s">
        <v>35</v>
      </c>
    </row>
    <row r="20" spans="1:4" ht="15" customHeight="1" x14ac:dyDescent="0.2">
      <c r="A20" s="4" t="s">
        <v>36</v>
      </c>
      <c r="B20" s="9">
        <v>200000</v>
      </c>
      <c r="C20" s="4" t="s">
        <v>26</v>
      </c>
      <c r="D20" s="4" t="s">
        <v>37</v>
      </c>
    </row>
    <row r="21" spans="1:4" ht="15" customHeight="1" x14ac:dyDescent="0.2">
      <c r="A21" s="10" t="s">
        <v>38</v>
      </c>
      <c r="B21" s="11">
        <f>B15+B16*B7+B17*B7+B18+B19+B20</f>
        <v>4750000</v>
      </c>
      <c r="C21" s="10" t="s">
        <v>26</v>
      </c>
      <c r="D21" s="4" t="s">
        <v>39</v>
      </c>
    </row>
    <row r="23" spans="1:4" ht="15" customHeight="1" x14ac:dyDescent="0.2">
      <c r="A23" s="2" t="s">
        <v>40</v>
      </c>
      <c r="B23" s="3"/>
      <c r="C23" s="3"/>
      <c r="D23" s="3"/>
    </row>
    <row r="24" spans="1:4" ht="15" customHeight="1" x14ac:dyDescent="0.2">
      <c r="A24" s="4" t="s">
        <v>41</v>
      </c>
      <c r="B24" s="9">
        <v>100000</v>
      </c>
      <c r="C24" s="4" t="s">
        <v>42</v>
      </c>
      <c r="D24" s="4" t="s">
        <v>43</v>
      </c>
    </row>
    <row r="25" spans="1:4" ht="15" customHeight="1" x14ac:dyDescent="0.2">
      <c r="A25" s="4" t="s">
        <v>44</v>
      </c>
      <c r="B25" s="9">
        <v>50000</v>
      </c>
      <c r="C25" s="4" t="s">
        <v>45</v>
      </c>
      <c r="D25" s="4" t="s">
        <v>46</v>
      </c>
    </row>
    <row r="26" spans="1:4" ht="15" customHeight="1" x14ac:dyDescent="0.2">
      <c r="A26" s="4" t="s">
        <v>47</v>
      </c>
      <c r="B26" s="9">
        <v>50000</v>
      </c>
      <c r="C26" s="4" t="s">
        <v>45</v>
      </c>
      <c r="D26" s="4" t="s">
        <v>48</v>
      </c>
    </row>
    <row r="27" spans="1:4" ht="15" customHeight="1" x14ac:dyDescent="0.2">
      <c r="A27" s="4" t="s">
        <v>49</v>
      </c>
      <c r="B27" s="9">
        <v>100000</v>
      </c>
      <c r="C27" s="4" t="s">
        <v>45</v>
      </c>
      <c r="D27" s="4" t="s">
        <v>228</v>
      </c>
    </row>
    <row r="28" spans="1:4" ht="15" customHeight="1" x14ac:dyDescent="0.2">
      <c r="A28" s="4" t="s">
        <v>50</v>
      </c>
      <c r="B28" s="9">
        <v>75000</v>
      </c>
      <c r="C28" s="4" t="s">
        <v>45</v>
      </c>
      <c r="D28" s="4" t="s">
        <v>51</v>
      </c>
    </row>
    <row r="29" spans="1:4" ht="15" customHeight="1" x14ac:dyDescent="0.2">
      <c r="A29" s="4" t="s">
        <v>52</v>
      </c>
      <c r="B29" s="9">
        <v>25000</v>
      </c>
      <c r="C29" s="4" t="s">
        <v>45</v>
      </c>
      <c r="D29" s="4" t="s">
        <v>229</v>
      </c>
    </row>
    <row r="30" spans="1:4" ht="15" customHeight="1" x14ac:dyDescent="0.2">
      <c r="A30" s="10" t="s">
        <v>53</v>
      </c>
      <c r="B30" s="11">
        <f>B24*B7+B25+B26+B27+B28+B29</f>
        <v>400000</v>
      </c>
      <c r="C30" s="10" t="s">
        <v>45</v>
      </c>
    </row>
    <row r="32" spans="1:4" ht="15" customHeight="1" x14ac:dyDescent="0.2">
      <c r="A32" s="2" t="s">
        <v>54</v>
      </c>
      <c r="B32" s="3"/>
      <c r="C32" s="3"/>
      <c r="D32" s="3"/>
    </row>
    <row r="33" spans="1:4" ht="15" customHeight="1" x14ac:dyDescent="0.2">
      <c r="A33" s="4" t="s">
        <v>55</v>
      </c>
      <c r="B33" s="6">
        <v>0.7</v>
      </c>
      <c r="D33" s="4" t="s">
        <v>56</v>
      </c>
    </row>
    <row r="34" spans="1:4" ht="15" customHeight="1" x14ac:dyDescent="0.2">
      <c r="A34" s="4" t="s">
        <v>57</v>
      </c>
      <c r="B34" s="6">
        <v>0.3</v>
      </c>
      <c r="D34" s="4" t="s">
        <v>58</v>
      </c>
    </row>
    <row r="35" spans="1:4" ht="15" customHeight="1" x14ac:dyDescent="0.2">
      <c r="A35" s="4" t="s">
        <v>59</v>
      </c>
      <c r="B35" s="6">
        <v>7.0000000000000007E-2</v>
      </c>
      <c r="D35" s="4" t="s">
        <v>60</v>
      </c>
    </row>
    <row r="36" spans="1:4" ht="15" customHeight="1" x14ac:dyDescent="0.2">
      <c r="A36" s="4" t="s">
        <v>61</v>
      </c>
      <c r="B36" s="12">
        <v>15</v>
      </c>
      <c r="C36" s="4" t="s">
        <v>62</v>
      </c>
      <c r="D36" s="4" t="s">
        <v>63</v>
      </c>
    </row>
    <row r="37" spans="1:4" ht="15" customHeight="1" x14ac:dyDescent="0.2">
      <c r="A37" s="4" t="s">
        <v>64</v>
      </c>
      <c r="B37" s="6">
        <v>0.15</v>
      </c>
      <c r="D37" s="4" t="s">
        <v>65</v>
      </c>
    </row>
    <row r="38" spans="1:4" ht="15" customHeight="1" x14ac:dyDescent="0.2">
      <c r="A38" s="4" t="s">
        <v>66</v>
      </c>
      <c r="B38" s="6">
        <v>0.08</v>
      </c>
      <c r="D38" s="4" t="s">
        <v>67</v>
      </c>
    </row>
    <row r="40" spans="1:4" ht="15" customHeight="1" x14ac:dyDescent="0.2">
      <c r="A40" s="2" t="s">
        <v>68</v>
      </c>
      <c r="B40" s="3"/>
      <c r="C40" s="3"/>
      <c r="D40" s="3"/>
    </row>
    <row r="41" spans="1:4" ht="15" customHeight="1" x14ac:dyDescent="0.2">
      <c r="A41" s="4" t="s">
        <v>69</v>
      </c>
      <c r="B41" s="9">
        <v>75000</v>
      </c>
      <c r="C41" s="4" t="s">
        <v>45</v>
      </c>
      <c r="D41" s="4" t="s">
        <v>216</v>
      </c>
    </row>
    <row r="42" spans="1:4" ht="15" customHeight="1" x14ac:dyDescent="0.2">
      <c r="A42" s="4" t="s">
        <v>70</v>
      </c>
      <c r="B42" s="9">
        <v>50000</v>
      </c>
      <c r="C42" s="4" t="s">
        <v>45</v>
      </c>
      <c r="D42" s="4" t="s">
        <v>71</v>
      </c>
    </row>
    <row r="43" spans="1:4" ht="15" customHeight="1" x14ac:dyDescent="0.2">
      <c r="A43" s="4" t="s">
        <v>72</v>
      </c>
      <c r="B43" s="9">
        <v>50000</v>
      </c>
      <c r="C43" s="4" t="s">
        <v>45</v>
      </c>
      <c r="D43" s="4" t="s">
        <v>73</v>
      </c>
    </row>
    <row r="44" spans="1:4" ht="15" customHeight="1" x14ac:dyDescent="0.2">
      <c r="A44" s="10" t="s">
        <v>74</v>
      </c>
      <c r="B44" s="11">
        <f>B41+B42+B43</f>
        <v>175000</v>
      </c>
      <c r="C44" s="10" t="s">
        <v>45</v>
      </c>
      <c r="D44" s="4"/>
    </row>
    <row r="46" spans="1:4" ht="15" customHeight="1" x14ac:dyDescent="0.2">
      <c r="A46" s="2" t="s">
        <v>75</v>
      </c>
      <c r="B46" s="3"/>
      <c r="C46" s="3"/>
      <c r="D46" s="3"/>
    </row>
    <row r="47" spans="1:4" ht="15" customHeight="1" x14ac:dyDescent="0.2">
      <c r="A47" s="4" t="s">
        <v>76</v>
      </c>
      <c r="B47" s="13">
        <v>9.7000000000000003E-2</v>
      </c>
      <c r="C47" s="4" t="s">
        <v>77</v>
      </c>
      <c r="D47" s="4" t="s">
        <v>78</v>
      </c>
    </row>
    <row r="48" spans="1:4" ht="15" customHeight="1" x14ac:dyDescent="0.2">
      <c r="A48" s="4" t="s">
        <v>79</v>
      </c>
      <c r="B48" s="13">
        <v>0.06</v>
      </c>
      <c r="C48" s="4" t="s">
        <v>77</v>
      </c>
      <c r="D48" s="4" t="s">
        <v>80</v>
      </c>
    </row>
    <row r="49" spans="1:4" ht="15" customHeight="1" x14ac:dyDescent="0.2">
      <c r="A49" s="4" t="s">
        <v>81</v>
      </c>
      <c r="B49" s="14">
        <f>1-B50</f>
        <v>0.91270480795057751</v>
      </c>
    </row>
    <row r="50" spans="1:4" ht="15" customHeight="1" x14ac:dyDescent="0.2">
      <c r="A50" s="4" t="s">
        <v>82</v>
      </c>
      <c r="B50" s="14">
        <f>B12/B9</f>
        <v>8.7295192049422515E-2</v>
      </c>
    </row>
    <row r="51" spans="1:4" ht="15" customHeight="1" x14ac:dyDescent="0.2">
      <c r="A51" s="4" t="s">
        <v>83</v>
      </c>
      <c r="B51" s="15">
        <f>B47*B49+B48*B50</f>
        <v>9.3770077894171383E-2</v>
      </c>
      <c r="C51" s="4" t="s">
        <v>77</v>
      </c>
    </row>
    <row r="52" spans="1:4" ht="15" customHeight="1" x14ac:dyDescent="0.2">
      <c r="A52" s="4" t="s">
        <v>84</v>
      </c>
      <c r="B52" s="16">
        <f>B9*B49*B47*1000000</f>
        <v>659212</v>
      </c>
    </row>
    <row r="53" spans="1:4" ht="15" customHeight="1" x14ac:dyDescent="0.2">
      <c r="A53" s="4" t="s">
        <v>85</v>
      </c>
      <c r="B53" s="16">
        <f>B9*B50*B48*1000000</f>
        <v>39000</v>
      </c>
    </row>
    <row r="54" spans="1:4" ht="15" customHeight="1" x14ac:dyDescent="0.2">
      <c r="A54" s="10" t="s">
        <v>86</v>
      </c>
      <c r="B54" s="17">
        <f>B52+B53</f>
        <v>698212</v>
      </c>
    </row>
    <row r="55" spans="1:4" ht="15" customHeight="1" x14ac:dyDescent="0.2">
      <c r="A55" s="10" t="s">
        <v>87</v>
      </c>
      <c r="B55" s="11">
        <f>B54+B44</f>
        <v>873212</v>
      </c>
      <c r="C55" s="10" t="s">
        <v>45</v>
      </c>
      <c r="D55" s="4"/>
    </row>
    <row r="57" spans="1:4" ht="15" customHeight="1" x14ac:dyDescent="0.2">
      <c r="A57" s="2" t="s">
        <v>88</v>
      </c>
      <c r="B57" s="3"/>
      <c r="C57" s="3"/>
      <c r="D57" s="3"/>
    </row>
    <row r="58" spans="1:4" ht="15" customHeight="1" x14ac:dyDescent="0.2">
      <c r="A58" s="4" t="s">
        <v>89</v>
      </c>
      <c r="B58" s="18">
        <f>B38</f>
        <v>0.08</v>
      </c>
    </row>
    <row r="59" spans="1:4" ht="15" customHeight="1" x14ac:dyDescent="0.2">
      <c r="A59" s="4" t="s">
        <v>90</v>
      </c>
      <c r="B59" s="5">
        <v>30</v>
      </c>
      <c r="C59" s="4" t="s">
        <v>62</v>
      </c>
      <c r="D59" s="4" t="s">
        <v>91</v>
      </c>
    </row>
    <row r="61" spans="1:4" ht="15" customHeight="1" x14ac:dyDescent="0.2">
      <c r="A61" s="2" t="s">
        <v>92</v>
      </c>
      <c r="B61" s="3"/>
      <c r="C61" s="3"/>
      <c r="D61" s="3"/>
    </row>
    <row r="62" spans="1:4" ht="15" customHeight="1" x14ac:dyDescent="0.2">
      <c r="A62" s="4" t="s">
        <v>93</v>
      </c>
      <c r="B62" s="9">
        <v>500000</v>
      </c>
      <c r="C62" s="4" t="s">
        <v>26</v>
      </c>
      <c r="D62" s="4" t="s">
        <v>94</v>
      </c>
    </row>
    <row r="63" spans="1:4" ht="15" customHeight="1" x14ac:dyDescent="0.2">
      <c r="A63" s="4" t="s">
        <v>95</v>
      </c>
      <c r="B63" s="9">
        <v>2000000</v>
      </c>
      <c r="C63" s="4" t="s">
        <v>26</v>
      </c>
      <c r="D63" s="4" t="s">
        <v>96</v>
      </c>
    </row>
    <row r="64" spans="1:4" ht="15" customHeight="1" x14ac:dyDescent="0.2">
      <c r="A64" s="4" t="s">
        <v>97</v>
      </c>
      <c r="B64" s="19">
        <v>10</v>
      </c>
      <c r="C64" s="4" t="s">
        <v>98</v>
      </c>
      <c r="D64" s="4" t="s">
        <v>99</v>
      </c>
    </row>
    <row r="65" spans="1:4" ht="15" customHeight="1" x14ac:dyDescent="0.2">
      <c r="A65" s="4" t="s">
        <v>100</v>
      </c>
      <c r="B65" s="20">
        <v>0.6</v>
      </c>
      <c r="C65" s="4" t="s">
        <v>101</v>
      </c>
    </row>
    <row r="66" spans="1:4" ht="15" customHeight="1" x14ac:dyDescent="0.2">
      <c r="A66" s="4" t="s">
        <v>102</v>
      </c>
      <c r="B66" s="21">
        <f>B9*1000*B65*B64</f>
        <v>44675.999999999993</v>
      </c>
      <c r="C66" s="4" t="s">
        <v>45</v>
      </c>
    </row>
    <row r="67" spans="1:4" ht="15" customHeight="1" x14ac:dyDescent="0.2">
      <c r="A67" s="4" t="s">
        <v>103</v>
      </c>
      <c r="B67" s="6">
        <v>0.02</v>
      </c>
      <c r="D67" s="4" t="s">
        <v>104</v>
      </c>
    </row>
    <row r="68" spans="1:4" ht="15" customHeight="1" x14ac:dyDescent="0.2">
      <c r="A68" s="10" t="s">
        <v>105</v>
      </c>
      <c r="B68" s="11">
        <f>B62+B63</f>
        <v>2500000</v>
      </c>
    </row>
    <row r="70" spans="1:4" ht="15" customHeight="1" x14ac:dyDescent="0.2">
      <c r="A70" s="2" t="s">
        <v>106</v>
      </c>
      <c r="B70" s="3"/>
      <c r="C70" s="3"/>
      <c r="D70" s="3"/>
    </row>
    <row r="71" spans="1:4" ht="15" customHeight="1" x14ac:dyDescent="0.2">
      <c r="A71" s="4" t="s">
        <v>107</v>
      </c>
      <c r="B71" s="6">
        <v>0.02</v>
      </c>
      <c r="D71" s="4" t="s">
        <v>108</v>
      </c>
    </row>
    <row r="72" spans="1:4" ht="15" customHeight="1" x14ac:dyDescent="0.2">
      <c r="A72" s="4" t="s">
        <v>109</v>
      </c>
      <c r="B72" s="6">
        <v>5.0000000000000001E-3</v>
      </c>
      <c r="D72" s="4" t="s">
        <v>110</v>
      </c>
    </row>
    <row r="73" spans="1:4" ht="15" customHeight="1" x14ac:dyDescent="0.2">
      <c r="A73" s="4" t="s">
        <v>111</v>
      </c>
      <c r="B73" s="6">
        <v>0.02</v>
      </c>
      <c r="D73" s="4" t="s">
        <v>112</v>
      </c>
    </row>
    <row r="74" spans="1:4" ht="15" customHeight="1" x14ac:dyDescent="0.2">
      <c r="A74" s="4" t="s">
        <v>113</v>
      </c>
      <c r="B74" s="6">
        <v>0.03</v>
      </c>
      <c r="D74" s="4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zoomScaleNormal="100" workbookViewId="0">
      <selection activeCell="C35" sqref="C35"/>
    </sheetView>
  </sheetViews>
  <sheetFormatPr baseColWidth="10" defaultColWidth="8.6640625" defaultRowHeight="15" x14ac:dyDescent="0.2"/>
  <cols>
    <col min="1" max="1" width="35" customWidth="1"/>
    <col min="2" max="2" width="22" customWidth="1"/>
    <col min="3" max="3" width="55" customWidth="1"/>
  </cols>
  <sheetData>
    <row r="1" spans="1:4" ht="17.25" customHeight="1" x14ac:dyDescent="0.2">
      <c r="A1" s="1" t="s">
        <v>115</v>
      </c>
    </row>
    <row r="3" spans="1:4" ht="15" customHeight="1" x14ac:dyDescent="0.2">
      <c r="A3" s="22" t="s">
        <v>116</v>
      </c>
      <c r="B3" s="22" t="s">
        <v>117</v>
      </c>
      <c r="C3" s="22" t="s">
        <v>118</v>
      </c>
    </row>
    <row r="4" spans="1:4" ht="15" customHeight="1" x14ac:dyDescent="0.2">
      <c r="A4" s="2" t="s">
        <v>119</v>
      </c>
      <c r="B4" s="3"/>
      <c r="C4" s="3"/>
      <c r="D4" s="3"/>
    </row>
    <row r="5" spans="1:4" ht="15" customHeight="1" x14ac:dyDescent="0.2">
      <c r="A5" s="4" t="s">
        <v>38</v>
      </c>
      <c r="B5" s="16">
        <f>Assumptions!B21</f>
        <v>4750000</v>
      </c>
      <c r="C5" s="4" t="s">
        <v>217</v>
      </c>
    </row>
    <row r="6" spans="1:4" ht="15" customHeight="1" x14ac:dyDescent="0.2">
      <c r="A6" s="4" t="s">
        <v>120</v>
      </c>
      <c r="B6" s="16">
        <f>-Assumptions!B62</f>
        <v>-500000</v>
      </c>
    </row>
    <row r="7" spans="1:4" ht="15" customHeight="1" x14ac:dyDescent="0.2">
      <c r="A7" s="10" t="s">
        <v>121</v>
      </c>
      <c r="B7" s="17">
        <f>B5+B6</f>
        <v>4250000</v>
      </c>
    </row>
    <row r="8" spans="1:4" ht="15" customHeight="1" x14ac:dyDescent="0.2">
      <c r="A8" s="4" t="s">
        <v>122</v>
      </c>
      <c r="B8" s="16">
        <f>B7*Assumptions!B33</f>
        <v>2975000</v>
      </c>
      <c r="C8" s="4" t="s">
        <v>218</v>
      </c>
    </row>
    <row r="9" spans="1:4" ht="15" customHeight="1" x14ac:dyDescent="0.2">
      <c r="A9" s="4" t="s">
        <v>123</v>
      </c>
      <c r="B9" s="16">
        <f>Assumptions!B63</f>
        <v>2000000</v>
      </c>
      <c r="C9" s="4" t="s">
        <v>219</v>
      </c>
    </row>
    <row r="10" spans="1:4" ht="15" customHeight="1" x14ac:dyDescent="0.2">
      <c r="A10" s="4" t="s">
        <v>124</v>
      </c>
      <c r="B10" s="21">
        <f>B8-B9</f>
        <v>975000</v>
      </c>
    </row>
    <row r="11" spans="1:4" ht="15" customHeight="1" x14ac:dyDescent="0.2">
      <c r="A11" s="4" t="s">
        <v>125</v>
      </c>
      <c r="B11" s="16">
        <f>B7*Assumptions!B34</f>
        <v>1275000</v>
      </c>
      <c r="C11" s="4" t="s">
        <v>220</v>
      </c>
    </row>
    <row r="13" spans="1:4" ht="15" customHeight="1" x14ac:dyDescent="0.2">
      <c r="A13" s="2" t="s">
        <v>126</v>
      </c>
      <c r="B13" s="3"/>
      <c r="C13" s="3"/>
      <c r="D13" s="3"/>
    </row>
    <row r="14" spans="1:4" ht="15" customHeight="1" x14ac:dyDescent="0.2">
      <c r="A14" s="4" t="s">
        <v>127</v>
      </c>
      <c r="B14" s="14">
        <f>IF(B8=0,0,(B9*(Assumptions!B35-Assumptions!B67)+B10*Assumptions!B35)/B8)</f>
        <v>5.6554621848739495E-2</v>
      </c>
    </row>
    <row r="15" spans="1:4" ht="15" customHeight="1" x14ac:dyDescent="0.2">
      <c r="A15" s="4" t="s">
        <v>128</v>
      </c>
      <c r="B15" s="23">
        <f>Assumptions!B36</f>
        <v>15</v>
      </c>
    </row>
    <row r="16" spans="1:4" ht="15" customHeight="1" x14ac:dyDescent="0.2">
      <c r="A16" s="4" t="s">
        <v>129</v>
      </c>
      <c r="B16" s="21">
        <f>-PMT(B14,B15,B8)</f>
        <v>299456.00599425973</v>
      </c>
      <c r="C16" s="4" t="s">
        <v>221</v>
      </c>
    </row>
    <row r="18" spans="1:4" ht="15" customHeight="1" x14ac:dyDescent="0.2">
      <c r="A18" s="2" t="s">
        <v>130</v>
      </c>
      <c r="B18" s="3"/>
      <c r="C18" s="3"/>
      <c r="D18" s="3"/>
    </row>
    <row r="19" spans="1:4" ht="15" customHeight="1" x14ac:dyDescent="0.2">
      <c r="A19" s="4" t="s">
        <v>131</v>
      </c>
      <c r="B19" s="16">
        <f>Assumptions!B55+Assumptions!B66</f>
        <v>917888</v>
      </c>
      <c r="C19" s="4" t="s">
        <v>132</v>
      </c>
    </row>
    <row r="20" spans="1:4" ht="15" customHeight="1" x14ac:dyDescent="0.2">
      <c r="A20" s="4" t="s">
        <v>133</v>
      </c>
      <c r="B20" s="16">
        <f>Assumptions!B30</f>
        <v>400000</v>
      </c>
    </row>
    <row r="21" spans="1:4" ht="15" customHeight="1" x14ac:dyDescent="0.2">
      <c r="A21" s="4" t="s">
        <v>134</v>
      </c>
      <c r="B21" s="24">
        <f>B19-B20</f>
        <v>517888</v>
      </c>
    </row>
    <row r="22" spans="1:4" ht="15" customHeight="1" x14ac:dyDescent="0.2">
      <c r="A22" s="4" t="s">
        <v>135</v>
      </c>
      <c r="B22" s="24">
        <f>B21-B16</f>
        <v>218431.99400574027</v>
      </c>
    </row>
    <row r="23" spans="1:4" ht="15" customHeight="1" x14ac:dyDescent="0.2">
      <c r="A23" s="10" t="s">
        <v>136</v>
      </c>
      <c r="B23" s="25">
        <f>IF(B11=0,0,B22/B11)</f>
        <v>0.17131921098489433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zoomScaleNormal="100" workbookViewId="0">
      <selection activeCell="L15" sqref="L15"/>
    </sheetView>
  </sheetViews>
  <sheetFormatPr baseColWidth="10" defaultColWidth="8.6640625" defaultRowHeight="15" x14ac:dyDescent="0.2"/>
  <cols>
    <col min="1" max="1" width="35" customWidth="1"/>
    <col min="2" max="2" width="20" customWidth="1"/>
    <col min="3" max="3" width="14" customWidth="1"/>
    <col min="4" max="4" width="60" customWidth="1"/>
  </cols>
  <sheetData>
    <row r="1" spans="1:10" ht="17.25" customHeight="1" x14ac:dyDescent="0.2">
      <c r="A1" s="1" t="s">
        <v>193</v>
      </c>
    </row>
    <row r="3" spans="1:10" ht="15" customHeight="1" x14ac:dyDescent="0.2">
      <c r="A3" s="22" t="s">
        <v>194</v>
      </c>
      <c r="B3" s="22" t="s">
        <v>195</v>
      </c>
      <c r="C3" s="22" t="s">
        <v>138</v>
      </c>
      <c r="D3" s="22" t="s">
        <v>118</v>
      </c>
    </row>
    <row r="4" spans="1:10" ht="15" customHeight="1" x14ac:dyDescent="0.2">
      <c r="A4" s="2" t="s">
        <v>196</v>
      </c>
      <c r="B4" s="3"/>
      <c r="C4" s="3"/>
      <c r="D4" s="3"/>
    </row>
    <row r="5" spans="1:10" ht="15" customHeight="1" x14ac:dyDescent="0.2">
      <c r="A5" s="4" t="s">
        <v>197</v>
      </c>
      <c r="B5" s="16">
        <f>Assumptions!B30</f>
        <v>400000</v>
      </c>
      <c r="C5" s="4" t="s">
        <v>45</v>
      </c>
      <c r="G5" s="37" t="s">
        <v>226</v>
      </c>
      <c r="H5" s="3"/>
      <c r="I5" s="3"/>
      <c r="J5" s="3"/>
    </row>
    <row r="6" spans="1:10" ht="15" customHeight="1" x14ac:dyDescent="0.2">
      <c r="A6" s="4" t="s">
        <v>38</v>
      </c>
      <c r="B6" s="16">
        <f>Assumptions!B21</f>
        <v>4750000</v>
      </c>
      <c r="C6" s="4" t="s">
        <v>26</v>
      </c>
      <c r="G6" s="4" t="s">
        <v>209</v>
      </c>
    </row>
    <row r="7" spans="1:10" ht="15" customHeight="1" x14ac:dyDescent="0.2">
      <c r="A7" s="4" t="s">
        <v>198</v>
      </c>
      <c r="B7" s="16">
        <f>'Financing Plan'!B7</f>
        <v>4250000</v>
      </c>
      <c r="C7" s="4" t="s">
        <v>26</v>
      </c>
      <c r="G7" s="4" t="s">
        <v>210</v>
      </c>
    </row>
    <row r="8" spans="1:10" ht="15" customHeight="1" x14ac:dyDescent="0.2">
      <c r="A8" s="4" t="s">
        <v>199</v>
      </c>
      <c r="B8" s="16">
        <f>'Financing Plan'!B19</f>
        <v>917888</v>
      </c>
      <c r="C8" s="4" t="s">
        <v>26</v>
      </c>
      <c r="G8" s="4" t="s">
        <v>211</v>
      </c>
    </row>
    <row r="9" spans="1:10" ht="15" customHeight="1" x14ac:dyDescent="0.2">
      <c r="A9" s="4" t="s">
        <v>134</v>
      </c>
      <c r="B9" s="16">
        <f>'Financing Plan'!B21</f>
        <v>517888</v>
      </c>
      <c r="C9" s="4" t="s">
        <v>26</v>
      </c>
      <c r="D9" s="4" t="s">
        <v>222</v>
      </c>
      <c r="G9" s="4" t="s">
        <v>212</v>
      </c>
    </row>
    <row r="10" spans="1:10" ht="15" customHeight="1" x14ac:dyDescent="0.2">
      <c r="A10" s="4" t="s">
        <v>200</v>
      </c>
      <c r="B10" s="33">
        <f>IF(B9&lt;=0,"N/A",B7/B9)</f>
        <v>8.2064075630252109</v>
      </c>
      <c r="C10" s="4" t="s">
        <v>201</v>
      </c>
      <c r="D10" s="4" t="s">
        <v>223</v>
      </c>
      <c r="G10" s="4"/>
    </row>
    <row r="11" spans="1:10" ht="15" customHeight="1" x14ac:dyDescent="0.2">
      <c r="A11" s="4" t="s">
        <v>202</v>
      </c>
      <c r="B11" s="33">
        <f>IF('Pro Forma P&amp;L'!C17&lt;=0,"Neg",('Financing Plan'!B11/'Pro Forma P&amp;L'!C17))</f>
        <v>5.8370570016702485</v>
      </c>
      <c r="C11" s="4" t="s">
        <v>201</v>
      </c>
      <c r="D11" s="4" t="s">
        <v>224</v>
      </c>
    </row>
    <row r="12" spans="1:10" ht="15" customHeight="1" x14ac:dyDescent="0.2">
      <c r="A12" s="10" t="s">
        <v>203</v>
      </c>
      <c r="B12" s="34">
        <f>IF('Pro Forma P&amp;L'!C22&gt;=0,1,IF('Pro Forma P&amp;L'!D22&gt;=0,2,IF('Pro Forma P&amp;L'!E22&gt;=0,3,IF('Pro Forma P&amp;L'!F22&gt;=0,4,IF('Pro Forma P&amp;L'!G22&gt;=0,5,IF('Pro Forma P&amp;L'!H22&gt;=0,6,IF('Pro Forma P&amp;L'!I22&gt;=0,7,IF('Pro Forma P&amp;L'!J22&gt;=0,8,IF('Pro Forma P&amp;L'!K22&gt;=0,9,IF('Pro Forma P&amp;L'!L22&gt;=0,10,IF('Pro Forma P&amp;L'!M22&gt;=0,11,IF('Pro Forma P&amp;L'!N22&gt;=0,12,IF('Pro Forma P&amp;L'!O22&gt;=0,13,IF('Pro Forma P&amp;L'!P22&gt;=0,14,IF('Pro Forma P&amp;L'!Q22&gt;=0,15,IF('Pro Forma P&amp;L'!R22&gt;=0,16,IF('Pro Forma P&amp;L'!S22&gt;=0,17,IF('Pro Forma P&amp;L'!T22&gt;=0,18,IF('Pro Forma P&amp;L'!U22&gt;=0,19,IF('Pro Forma P&amp;L'!V22&gt;=0,20,IF('Pro Forma P&amp;L'!W22&gt;=0,21,IF('Pro Forma P&amp;L'!X22&gt;=0,22,IF('Pro Forma P&amp;L'!Y22&gt;=0,23,IF('Pro Forma P&amp;L'!Z22&gt;=0,24,IF('Pro Forma P&amp;L'!AA22&gt;=0,25,IF('Pro Forma P&amp;L'!AB22&gt;=0,26,IF('Pro Forma P&amp;L'!AC22&gt;=0,27,IF('Pro Forma P&amp;L'!AD22&gt;=0,28,IF('Pro Forma P&amp;L'!AE22&gt;=0,29,IF('Pro Forma P&amp;L'!AF22&gt;=0,30,"30+"))))))))))))))))))))))))))))))</f>
        <v>6</v>
      </c>
      <c r="C12" s="4" t="s">
        <v>204</v>
      </c>
      <c r="D12" s="4" t="s">
        <v>225</v>
      </c>
    </row>
    <row r="14" spans="1:10" ht="15" customHeight="1" x14ac:dyDescent="0.2">
      <c r="A14" s="2" t="s">
        <v>205</v>
      </c>
      <c r="B14" s="3"/>
      <c r="C14" s="3"/>
      <c r="D14" s="3"/>
    </row>
    <row r="15" spans="1:10" ht="15" customHeight="1" x14ac:dyDescent="0.2">
      <c r="A15" s="4" t="s">
        <v>206</v>
      </c>
      <c r="B15" s="21">
        <v>24500000</v>
      </c>
    </row>
    <row r="16" spans="1:10" ht="15" customHeight="1" x14ac:dyDescent="0.2">
      <c r="A16" s="4" t="s">
        <v>207</v>
      </c>
      <c r="B16" s="16">
        <f>Assumptions!B21</f>
        <v>4750000</v>
      </c>
    </row>
    <row r="17" spans="1:2" ht="15" customHeight="1" thickBot="1" x14ac:dyDescent="0.25">
      <c r="A17" s="10" t="s">
        <v>208</v>
      </c>
      <c r="B17" s="25">
        <f>1-B16/B15</f>
        <v>0.80612244897959184</v>
      </c>
    </row>
    <row r="18" spans="1:2" ht="16" thickTop="1" x14ac:dyDescent="0.2"/>
    <row r="19" spans="1:2" ht="15" customHeight="1" x14ac:dyDescent="0.2"/>
    <row r="20" spans="1:2" ht="15" customHeight="1" x14ac:dyDescent="0.2"/>
    <row r="21" spans="1:2" ht="15" customHeight="1" x14ac:dyDescent="0.2"/>
    <row r="22" spans="1:2" ht="15" customHeight="1" x14ac:dyDescent="0.2"/>
    <row r="23" spans="1:2" ht="15" customHeight="1" x14ac:dyDescent="0.2"/>
    <row r="24" spans="1:2" ht="1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8"/>
  <sheetViews>
    <sheetView tabSelected="1" zoomScaleNormal="100" workbookViewId="0">
      <selection activeCell="A31" sqref="A31"/>
    </sheetView>
  </sheetViews>
  <sheetFormatPr baseColWidth="10" defaultColWidth="8.6640625" defaultRowHeight="15" x14ac:dyDescent="0.2"/>
  <cols>
    <col min="1" max="1" width="32" customWidth="1"/>
    <col min="2" max="2" width="8" customWidth="1"/>
    <col min="3" max="32" width="15" customWidth="1"/>
  </cols>
  <sheetData>
    <row r="1" spans="1:32" ht="17.25" customHeight="1" x14ac:dyDescent="0.2">
      <c r="A1" s="1" t="s">
        <v>227</v>
      </c>
    </row>
    <row r="2" spans="1:32" ht="15" customHeight="1" x14ac:dyDescent="0.2">
      <c r="A2" s="2" t="s">
        <v>137</v>
      </c>
      <c r="B2" s="2" t="s">
        <v>138</v>
      </c>
      <c r="C2" s="26" t="s">
        <v>139</v>
      </c>
      <c r="D2" s="26" t="s">
        <v>140</v>
      </c>
      <c r="E2" s="26" t="s">
        <v>141</v>
      </c>
      <c r="F2" s="26" t="s">
        <v>142</v>
      </c>
      <c r="G2" s="26" t="s">
        <v>143</v>
      </c>
      <c r="H2" s="26" t="s">
        <v>144</v>
      </c>
      <c r="I2" s="26" t="s">
        <v>145</v>
      </c>
      <c r="J2" s="26" t="s">
        <v>146</v>
      </c>
      <c r="K2" s="26" t="s">
        <v>147</v>
      </c>
      <c r="L2" s="26" t="s">
        <v>148</v>
      </c>
      <c r="M2" s="26" t="s">
        <v>149</v>
      </c>
      <c r="N2" s="26" t="s">
        <v>150</v>
      </c>
      <c r="O2" s="26" t="s">
        <v>151</v>
      </c>
      <c r="P2" s="26" t="s">
        <v>152</v>
      </c>
      <c r="Q2" s="26" t="s">
        <v>153</v>
      </c>
      <c r="R2" s="26" t="s">
        <v>154</v>
      </c>
      <c r="S2" s="26" t="s">
        <v>155</v>
      </c>
      <c r="T2" s="26" t="s">
        <v>156</v>
      </c>
      <c r="U2" s="26" t="s">
        <v>157</v>
      </c>
      <c r="V2" s="26" t="s">
        <v>158</v>
      </c>
      <c r="W2" s="26" t="s">
        <v>159</v>
      </c>
      <c r="X2" s="26" t="s">
        <v>160</v>
      </c>
      <c r="Y2" s="26" t="s">
        <v>161</v>
      </c>
      <c r="Z2" s="26" t="s">
        <v>162</v>
      </c>
      <c r="AA2" s="26" t="s">
        <v>163</v>
      </c>
      <c r="AB2" s="26" t="s">
        <v>164</v>
      </c>
      <c r="AC2" s="26" t="s">
        <v>165</v>
      </c>
      <c r="AD2" s="26" t="s">
        <v>166</v>
      </c>
      <c r="AE2" s="26" t="s">
        <v>167</v>
      </c>
      <c r="AF2" s="26" t="s">
        <v>168</v>
      </c>
    </row>
    <row r="3" spans="1:32" ht="15" customHeight="1" x14ac:dyDescent="0.2">
      <c r="J3" s="10" t="s">
        <v>169</v>
      </c>
    </row>
    <row r="4" spans="1:32" ht="15" customHeight="1" x14ac:dyDescent="0.2">
      <c r="A4" s="4" t="s">
        <v>170</v>
      </c>
      <c r="B4" s="4" t="s">
        <v>15</v>
      </c>
      <c r="C4" s="27">
        <f>Assumptions!B9</f>
        <v>7.4459999999999997</v>
      </c>
      <c r="D4" s="7">
        <f>C4*(1-Assumptions!$B$72)</f>
        <v>7.4087699999999996</v>
      </c>
      <c r="E4" s="7">
        <f>D4*(1-Assumptions!$B$72)</f>
        <v>7.3717261499999998</v>
      </c>
      <c r="F4" s="7">
        <f>E4*(1-Assumptions!$B$72)</f>
        <v>7.3348675192499995</v>
      </c>
      <c r="G4" s="7">
        <f>F4*(1-Assumptions!$B$72)</f>
        <v>7.2981931816537493</v>
      </c>
      <c r="H4" s="7">
        <f>G4*(1-Assumptions!$B$72)</f>
        <v>7.2617022157454807</v>
      </c>
      <c r="I4" s="7">
        <f>H4*(1-Assumptions!$B$72)</f>
        <v>7.2253937046667529</v>
      </c>
      <c r="J4" s="7">
        <f>I4*(1-Assumptions!$B$72)</f>
        <v>7.189266736143419</v>
      </c>
      <c r="K4" s="7">
        <f>J4*(1-Assumptions!$B$72)</f>
        <v>7.1533204024627022</v>
      </c>
      <c r="L4" s="7">
        <f>K4*(1-Assumptions!$B$72)</f>
        <v>7.1175538004503887</v>
      </c>
      <c r="M4" s="7">
        <f>L4*(1-Assumptions!$B$72)</f>
        <v>7.081966031448137</v>
      </c>
      <c r="N4" s="7">
        <f>M4*(1-Assumptions!$B$72)</f>
        <v>7.0465562012908967</v>
      </c>
      <c r="O4" s="7">
        <f>N4*(1-Assumptions!$B$72)</f>
        <v>7.0113234202844419</v>
      </c>
      <c r="P4" s="7">
        <f>O4*(1-Assumptions!$B$72)</f>
        <v>6.9762668031830195</v>
      </c>
      <c r="Q4" s="7">
        <f>P4*(1-Assumptions!$B$72)</f>
        <v>6.9413854691671046</v>
      </c>
      <c r="R4" s="7">
        <f>Q4*(1-Assumptions!$B$72)</f>
        <v>6.9066785418212691</v>
      </c>
      <c r="S4" s="7">
        <f>R4*(1-Assumptions!$B$72)</f>
        <v>6.8721451491121623</v>
      </c>
      <c r="T4" s="7">
        <f>S4*(1-Assumptions!$B$72)</f>
        <v>6.8377844233666014</v>
      </c>
      <c r="U4" s="7">
        <f>T4*(1-Assumptions!$B$72)</f>
        <v>6.8035955012497684</v>
      </c>
      <c r="V4" s="7">
        <f>U4*(1-Assumptions!$B$72)</f>
        <v>6.7695775237435196</v>
      </c>
      <c r="W4" s="7">
        <f>V4*(1-Assumptions!$B$72)</f>
        <v>6.7357296361248018</v>
      </c>
      <c r="X4" s="7">
        <f>W4*(1-Assumptions!$B$72)</f>
        <v>6.7020509879441779</v>
      </c>
      <c r="Y4" s="7">
        <f>X4*(1-Assumptions!$B$72)</f>
        <v>6.6685407330044573</v>
      </c>
      <c r="Z4" s="7">
        <f>Y4*(1-Assumptions!$B$72)</f>
        <v>6.6351980293394348</v>
      </c>
      <c r="AA4" s="7">
        <f>Z4*(1-Assumptions!$B$72)</f>
        <v>6.6020220391927378</v>
      </c>
      <c r="AB4" s="7">
        <f>AA4*(1-Assumptions!$B$72)</f>
        <v>6.5690119289967743</v>
      </c>
      <c r="AC4" s="7">
        <f>AB4*(1-Assumptions!$B$72)</f>
        <v>6.5361668693517903</v>
      </c>
      <c r="AD4" s="7">
        <f>AC4*(1-Assumptions!$B$72)</f>
        <v>6.5034860350050314</v>
      </c>
      <c r="AE4" s="7">
        <f>AD4*(1-Assumptions!$B$72)</f>
        <v>6.4709686048300066</v>
      </c>
      <c r="AF4" s="7">
        <f>AE4*(1-Assumptions!$B$72)</f>
        <v>6.4386137618058568</v>
      </c>
    </row>
    <row r="5" spans="1:32" ht="15" customHeight="1" x14ac:dyDescent="0.2">
      <c r="A5" s="4" t="s">
        <v>171</v>
      </c>
      <c r="B5" s="4" t="s">
        <v>26</v>
      </c>
      <c r="C5" s="16">
        <f>Assumptions!B54</f>
        <v>698212</v>
      </c>
      <c r="D5" s="21">
        <f>C5*(1+Assumptions!$B$71)*(1-Assumptions!$B$72)</f>
        <v>708615.35880000005</v>
      </c>
      <c r="E5" s="21">
        <f>D5*(1+Assumptions!$B$71)*(1-Assumptions!$B$72)</f>
        <v>719173.72764612001</v>
      </c>
      <c r="F5" s="21">
        <f>E5*(1+Assumptions!$B$71)*(1-Assumptions!$B$72)</f>
        <v>729889.41618804727</v>
      </c>
      <c r="G5" s="21">
        <f>F5*(1+Assumptions!$B$71)*(1-Assumptions!$B$72)</f>
        <v>740764.76848924917</v>
      </c>
      <c r="H5" s="21">
        <f>G5*(1+Assumptions!$B$71)*(1-Assumptions!$B$72)</f>
        <v>751802.16353973909</v>
      </c>
      <c r="I5" s="21">
        <f>H5*(1+Assumptions!$B$71)*(1-Assumptions!$B$72)</f>
        <v>763004.01577648125</v>
      </c>
      <c r="J5" s="21">
        <f>I5*(1+Assumptions!$B$71)*(1-Assumptions!$B$72)</f>
        <v>774372.77561155078</v>
      </c>
      <c r="K5" s="21">
        <f>J5*(1+Assumptions!$B$71)*(1-Assumptions!$B$72)</f>
        <v>785910.92996816291</v>
      </c>
      <c r="L5" s="21">
        <f>K5*(1+Assumptions!$B$71)*(1-Assumptions!$B$72)</f>
        <v>797621.00282468845</v>
      </c>
      <c r="M5" s="21">
        <f>L5*(1+Assumptions!$B$71)*(1-Assumptions!$B$72)</f>
        <v>809505.55576677632</v>
      </c>
      <c r="N5" s="21">
        <f>M5*(1+Assumptions!$B$71)*(1-Assumptions!$B$72)</f>
        <v>821567.18854770123</v>
      </c>
      <c r="O5" s="21">
        <f>N5*(1+Assumptions!$B$71)*(1-Assumptions!$B$72)</f>
        <v>833808.53965706204</v>
      </c>
      <c r="P5" s="21">
        <f>O5*(1+Assumptions!$B$71)*(1-Assumptions!$B$72)</f>
        <v>846232.2868979522</v>
      </c>
      <c r="Q5" s="21">
        <f>P5*(1+Assumptions!$B$71)*(1-Assumptions!$B$72)</f>
        <v>858841.14797273173</v>
      </c>
      <c r="R5" s="21">
        <f>Q5*(1+Assumptions!$B$71)*(1-Assumptions!$B$72)</f>
        <v>871637.88107752544</v>
      </c>
      <c r="S5" s="21">
        <f>R5*(1+Assumptions!$B$71)*(1-Assumptions!$B$72)</f>
        <v>884625.28550558048</v>
      </c>
      <c r="T5" s="21">
        <f>S5*(1+Assumptions!$B$71)*(1-Assumptions!$B$72)</f>
        <v>897806.20225961355</v>
      </c>
      <c r="U5" s="21">
        <f>T5*(1+Assumptions!$B$71)*(1-Assumptions!$B$72)</f>
        <v>911183.51467328181</v>
      </c>
      <c r="V5" s="21">
        <f>U5*(1+Assumptions!$B$71)*(1-Assumptions!$B$72)</f>
        <v>924760.14904191368</v>
      </c>
      <c r="W5" s="21">
        <f>V5*(1+Assumptions!$B$71)*(1-Assumptions!$B$72)</f>
        <v>938539.07526263816</v>
      </c>
      <c r="X5" s="21">
        <f>W5*(1+Assumptions!$B$71)*(1-Assumptions!$B$72)</f>
        <v>952523.30748405156</v>
      </c>
      <c r="Y5" s="21">
        <f>X5*(1+Assumptions!$B$71)*(1-Assumptions!$B$72)</f>
        <v>966715.9047655639</v>
      </c>
      <c r="Z5" s="21">
        <f>Y5*(1+Assumptions!$B$71)*(1-Assumptions!$B$72)</f>
        <v>981119.97174657078</v>
      </c>
      <c r="AA5" s="21">
        <f>Z5*(1+Assumptions!$B$71)*(1-Assumptions!$B$72)</f>
        <v>995738.65932559478</v>
      </c>
      <c r="AB5" s="21">
        <f>AA5*(1+Assumptions!$B$71)*(1-Assumptions!$B$72)</f>
        <v>1010575.1653495462</v>
      </c>
      <c r="AC5" s="21">
        <f>AB5*(1+Assumptions!$B$71)*(1-Assumptions!$B$72)</f>
        <v>1025632.7353132545</v>
      </c>
      <c r="AD5" s="21">
        <f>AC5*(1+Assumptions!$B$71)*(1-Assumptions!$B$72)</f>
        <v>1040914.663069422</v>
      </c>
      <c r="AE5" s="21">
        <f>AD5*(1+Assumptions!$B$71)*(1-Assumptions!$B$72)</f>
        <v>1056424.2915491564</v>
      </c>
      <c r="AF5" s="21">
        <f>AE5*(1+Assumptions!$B$71)*(1-Assumptions!$B$72)</f>
        <v>1072165.0134932389</v>
      </c>
    </row>
    <row r="6" spans="1:32" ht="15" customHeight="1" x14ac:dyDescent="0.2">
      <c r="A6" s="4" t="s">
        <v>172</v>
      </c>
      <c r="B6" s="4" t="s">
        <v>26</v>
      </c>
      <c r="C6" s="16">
        <f>Assumptions!B44</f>
        <v>175000</v>
      </c>
      <c r="D6" s="21">
        <f>C6*(1+Assumptions!$B$74)</f>
        <v>180250</v>
      </c>
      <c r="E6" s="21">
        <f>D6*(1+Assumptions!$B$74)</f>
        <v>185657.5</v>
      </c>
      <c r="F6" s="21">
        <f>E6*(1+Assumptions!$B$74)</f>
        <v>191227.22500000001</v>
      </c>
      <c r="G6" s="21">
        <f>F6*(1+Assumptions!$B$74)</f>
        <v>196964.04175</v>
      </c>
      <c r="H6" s="21">
        <f>G6*(1+Assumptions!$B$74)</f>
        <v>202872.96300250001</v>
      </c>
      <c r="I6" s="21">
        <f>H6*(1+Assumptions!$B$74)</f>
        <v>208959.15189257503</v>
      </c>
      <c r="J6" s="21">
        <f>I6*(1+Assumptions!$B$74)</f>
        <v>215227.92644935229</v>
      </c>
      <c r="K6" s="21">
        <f>J6*(1+Assumptions!$B$74)</f>
        <v>221684.76424283287</v>
      </c>
      <c r="L6" s="21">
        <f>K6*(1+Assumptions!$B$74)</f>
        <v>228335.30717011786</v>
      </c>
      <c r="M6" s="21">
        <f>L6*(1+Assumptions!$B$74)</f>
        <v>235185.36638522139</v>
      </c>
      <c r="N6" s="21">
        <f>M6*(1+Assumptions!$B$74)</f>
        <v>242240.92737677804</v>
      </c>
      <c r="O6" s="21">
        <f>N6*(1+Assumptions!$B$74)</f>
        <v>249508.1551980814</v>
      </c>
      <c r="P6" s="21">
        <f>O6*(1+Assumptions!$B$74)</f>
        <v>256993.39985402385</v>
      </c>
      <c r="Q6" s="21">
        <f>P6*(1+Assumptions!$B$74)</f>
        <v>264703.2018496446</v>
      </c>
      <c r="R6" s="21">
        <f>Q6*(1+Assumptions!$B$74)</f>
        <v>272644.29790513392</v>
      </c>
      <c r="S6" s="21">
        <f>R6*(1+Assumptions!$B$74)</f>
        <v>280823.62684228795</v>
      </c>
      <c r="T6" s="21">
        <f>S6*(1+Assumptions!$B$74)</f>
        <v>289248.33564755658</v>
      </c>
      <c r="U6" s="21">
        <f>T6*(1+Assumptions!$B$74)</f>
        <v>297925.78571698332</v>
      </c>
      <c r="V6" s="21">
        <f>U6*(1+Assumptions!$B$74)</f>
        <v>306863.55928849283</v>
      </c>
      <c r="W6" s="21">
        <f>V6*(1+Assumptions!$B$74)</f>
        <v>316069.46606714762</v>
      </c>
      <c r="X6" s="21">
        <f>W6*(1+Assumptions!$B$74)</f>
        <v>325551.55004916206</v>
      </c>
      <c r="Y6" s="21">
        <f>X6*(1+Assumptions!$B$74)</f>
        <v>335318.09655063692</v>
      </c>
      <c r="Z6" s="21">
        <f>Y6*(1+Assumptions!$B$74)</f>
        <v>345377.63944715605</v>
      </c>
      <c r="AA6" s="21">
        <f>Z6*(1+Assumptions!$B$74)</f>
        <v>355738.96863057074</v>
      </c>
      <c r="AB6" s="21">
        <f>AA6*(1+Assumptions!$B$74)</f>
        <v>366411.13768948789</v>
      </c>
      <c r="AC6" s="21">
        <f>AB6*(1+Assumptions!$B$74)</f>
        <v>377403.47182017256</v>
      </c>
      <c r="AD6" s="21">
        <f>AC6*(1+Assumptions!$B$74)</f>
        <v>388725.57597477775</v>
      </c>
      <c r="AE6" s="21">
        <f>AD6*(1+Assumptions!$B$74)</f>
        <v>400387.34325402108</v>
      </c>
      <c r="AF6" s="21">
        <f>AE6*(1+Assumptions!$B$74)</f>
        <v>412398.96355164173</v>
      </c>
    </row>
    <row r="7" spans="1:32" ht="15" customHeight="1" x14ac:dyDescent="0.2">
      <c r="A7" s="4" t="s">
        <v>173</v>
      </c>
      <c r="B7" s="4" t="s">
        <v>26</v>
      </c>
      <c r="C7" s="16">
        <f>C4*1000*Assumptions!$B$65*Assumptions!$B$64</f>
        <v>44675.999999999993</v>
      </c>
      <c r="D7" s="16">
        <f>D4*1000*Assumptions!$B$65*Assumptions!$B$64</f>
        <v>44452.619999999995</v>
      </c>
      <c r="E7" s="16">
        <f>E4*1000*Assumptions!$B$65*Assumptions!$B$64</f>
        <v>44230.356899999999</v>
      </c>
      <c r="F7" s="16">
        <f>F4*1000*Assumptions!$B$65*Assumptions!$B$64</f>
        <v>44009.205115500001</v>
      </c>
      <c r="G7" s="16">
        <f>G4*1000*Assumptions!$B$65*Assumptions!$B$64</f>
        <v>43789.159089922498</v>
      </c>
      <c r="H7" s="16">
        <f>H4*1000*Assumptions!$B$65*Assumptions!$B$64</f>
        <v>43570.21329447288</v>
      </c>
      <c r="I7" s="16">
        <f>I4*1000*Assumptions!$B$65*Assumptions!$B$64</f>
        <v>43352.362228000507</v>
      </c>
      <c r="J7" s="16">
        <f>J4*1000*Assumptions!$B$65*Assumptions!$B$64</f>
        <v>43135.600416860507</v>
      </c>
      <c r="K7" s="16">
        <f>K4*1000*Assumptions!$B$65*Assumptions!$B$64</f>
        <v>42919.922414776214</v>
      </c>
      <c r="L7" s="16">
        <f>L4*1000*Assumptions!$B$65*Assumptions!$B$64</f>
        <v>42705.322802702329</v>
      </c>
      <c r="M7" s="16">
        <f>M4*1000*Assumptions!$B$65*Assumptions!$B$64</f>
        <v>42491.796188688822</v>
      </c>
      <c r="N7" s="16">
        <f>N4*1000*Assumptions!$B$65*Assumptions!$B$64</f>
        <v>42279.337207745375</v>
      </c>
      <c r="O7" s="16">
        <f>O4*1000*Assumptions!$B$65*Assumptions!$B$64</f>
        <v>42067.940521706652</v>
      </c>
      <c r="P7" s="16">
        <f>P4*1000*Assumptions!$B$65*Assumptions!$B$64</f>
        <v>41857.600819098116</v>
      </c>
      <c r="Q7" s="16">
        <f>Q4*1000*Assumptions!$B$65*Assumptions!$B$64</f>
        <v>41648.312815002631</v>
      </c>
      <c r="R7" s="16">
        <f>R4*1000*Assumptions!$B$65*Assumptions!$B$64</f>
        <v>41440.071250927613</v>
      </c>
      <c r="S7" s="16">
        <f>S4*1000*Assumptions!$B$65*Assumptions!$B$64</f>
        <v>41232.870894672968</v>
      </c>
      <c r="T7" s="16">
        <f>T4*1000*Assumptions!$B$65*Assumptions!$B$64</f>
        <v>41026.706540199601</v>
      </c>
      <c r="U7" s="16">
        <f>U4*1000*Assumptions!$B$65*Assumptions!$B$64</f>
        <v>40821.573007498606</v>
      </c>
      <c r="V7" s="16">
        <f>V4*1000*Assumptions!$B$65*Assumptions!$B$64</f>
        <v>40617.465142461122</v>
      </c>
      <c r="W7" s="16">
        <f>W4*1000*Assumptions!$B$65*Assumptions!$B$64</f>
        <v>40414.377816748813</v>
      </c>
      <c r="X7" s="16">
        <f>X4*1000*Assumptions!$B$65*Assumptions!$B$64</f>
        <v>40212.305927665067</v>
      </c>
      <c r="Y7" s="16">
        <f>Y4*1000*Assumptions!$B$65*Assumptions!$B$64</f>
        <v>40011.244398026742</v>
      </c>
      <c r="Z7" s="16">
        <f>Z4*1000*Assumptions!$B$65*Assumptions!$B$64</f>
        <v>39811.188176036601</v>
      </c>
      <c r="AA7" s="16">
        <f>AA4*1000*Assumptions!$B$65*Assumptions!$B$64</f>
        <v>39612.132235156423</v>
      </c>
      <c r="AB7" s="16">
        <f>AB4*1000*Assumptions!$B$65*Assumptions!$B$64</f>
        <v>39414.071573980647</v>
      </c>
      <c r="AC7" s="16">
        <f>AC4*1000*Assumptions!$B$65*Assumptions!$B$64</f>
        <v>39217.001216110737</v>
      </c>
      <c r="AD7" s="16">
        <f>AD4*1000*Assumptions!$B$65*Assumptions!$B$64</f>
        <v>39020.916210030184</v>
      </c>
      <c r="AE7" s="16">
        <f>AE4*1000*Assumptions!$B$65*Assumptions!$B$64</f>
        <v>38825.811628980038</v>
      </c>
      <c r="AF7" s="16">
        <f>AF4*1000*Assumptions!$B$65*Assumptions!$B$64</f>
        <v>38631.682570835139</v>
      </c>
    </row>
    <row r="8" spans="1:32" ht="15" customHeight="1" x14ac:dyDescent="0.2">
      <c r="A8" s="10" t="s">
        <v>174</v>
      </c>
      <c r="B8" s="4" t="s">
        <v>26</v>
      </c>
      <c r="C8" s="17">
        <f t="shared" ref="C8:AF8" si="0">C5+C6+C7</f>
        <v>917888</v>
      </c>
      <c r="D8" s="17">
        <f t="shared" si="0"/>
        <v>933317.97880000004</v>
      </c>
      <c r="E8" s="17">
        <f t="shared" si="0"/>
        <v>949061.58454612002</v>
      </c>
      <c r="F8" s="17">
        <f t="shared" si="0"/>
        <v>965125.84630354727</v>
      </c>
      <c r="G8" s="17">
        <f t="shared" si="0"/>
        <v>981517.96932917158</v>
      </c>
      <c r="H8" s="17">
        <f t="shared" si="0"/>
        <v>998245.339836712</v>
      </c>
      <c r="I8" s="17">
        <f t="shared" si="0"/>
        <v>1015315.5298970568</v>
      </c>
      <c r="J8" s="17">
        <f t="shared" si="0"/>
        <v>1032736.3024777636</v>
      </c>
      <c r="K8" s="17">
        <f t="shared" si="0"/>
        <v>1050515.6166257721</v>
      </c>
      <c r="L8" s="17">
        <f t="shared" si="0"/>
        <v>1068661.6327975087</v>
      </c>
      <c r="M8" s="17">
        <f t="shared" si="0"/>
        <v>1087182.7183406865</v>
      </c>
      <c r="N8" s="17">
        <f t="shared" si="0"/>
        <v>1106087.4531322245</v>
      </c>
      <c r="O8" s="17">
        <f t="shared" si="0"/>
        <v>1125384.6353768499</v>
      </c>
      <c r="P8" s="17">
        <f t="shared" si="0"/>
        <v>1145083.2875710742</v>
      </c>
      <c r="Q8" s="17">
        <f t="shared" si="0"/>
        <v>1165192.662637379</v>
      </c>
      <c r="R8" s="17">
        <f t="shared" si="0"/>
        <v>1185722.2502335869</v>
      </c>
      <c r="S8" s="17">
        <f t="shared" si="0"/>
        <v>1206681.7832425416</v>
      </c>
      <c r="T8" s="17">
        <f t="shared" si="0"/>
        <v>1228081.2444473698</v>
      </c>
      <c r="U8" s="17">
        <f t="shared" si="0"/>
        <v>1249930.8733977638</v>
      </c>
      <c r="V8" s="17">
        <f t="shared" si="0"/>
        <v>1272241.1734728678</v>
      </c>
      <c r="W8" s="17">
        <f t="shared" si="0"/>
        <v>1295022.9191465345</v>
      </c>
      <c r="X8" s="17">
        <f t="shared" si="0"/>
        <v>1318287.1634608787</v>
      </c>
      <c r="Y8" s="17">
        <f t="shared" si="0"/>
        <v>1342045.2457142277</v>
      </c>
      <c r="Z8" s="17">
        <f t="shared" si="0"/>
        <v>1366308.7993697634</v>
      </c>
      <c r="AA8" s="17">
        <f t="shared" si="0"/>
        <v>1391089.7601913218</v>
      </c>
      <c r="AB8" s="17">
        <f t="shared" si="0"/>
        <v>1416400.3746130147</v>
      </c>
      <c r="AC8" s="17">
        <f t="shared" si="0"/>
        <v>1442253.2083495378</v>
      </c>
      <c r="AD8" s="17">
        <f t="shared" si="0"/>
        <v>1468661.1552542299</v>
      </c>
      <c r="AE8" s="17">
        <f t="shared" si="0"/>
        <v>1495637.4464321577</v>
      </c>
      <c r="AF8" s="17">
        <f t="shared" si="0"/>
        <v>1523195.6596157157</v>
      </c>
    </row>
    <row r="10" spans="1:32" ht="15" customHeight="1" x14ac:dyDescent="0.2">
      <c r="J10" s="10" t="s">
        <v>175</v>
      </c>
    </row>
    <row r="11" spans="1:32" ht="15" customHeight="1" x14ac:dyDescent="0.2">
      <c r="A11" s="4" t="s">
        <v>176</v>
      </c>
      <c r="B11" s="4" t="s">
        <v>26</v>
      </c>
      <c r="C11" s="16">
        <f>Assumptions!B24*Assumptions!B7</f>
        <v>100000</v>
      </c>
      <c r="D11" s="21">
        <f>C11*(1+Assumptions!$B$73)</f>
        <v>102000</v>
      </c>
      <c r="E11" s="21">
        <f>D11*(1+Assumptions!$B$73)</f>
        <v>104040</v>
      </c>
      <c r="F11" s="21">
        <f>E11*(1+Assumptions!$B$73)</f>
        <v>106120.8</v>
      </c>
      <c r="G11" s="21">
        <f>F11*(1+Assumptions!$B$73)</f>
        <v>108243.216</v>
      </c>
      <c r="H11" s="21">
        <f>G11*(1+Assumptions!$B$73)</f>
        <v>110408.08032000001</v>
      </c>
      <c r="I11" s="21">
        <f>H11*(1+Assumptions!$B$73)</f>
        <v>112616.24192640001</v>
      </c>
      <c r="J11" s="21">
        <f>I11*(1+Assumptions!$B$73)</f>
        <v>114868.56676492801</v>
      </c>
      <c r="K11" s="21">
        <f>J11*(1+Assumptions!$B$73)</f>
        <v>117165.93810022657</v>
      </c>
      <c r="L11" s="21">
        <f>K11*(1+Assumptions!$B$73)</f>
        <v>119509.25686223111</v>
      </c>
      <c r="M11" s="21">
        <f>L11*(1+Assumptions!$B$73)</f>
        <v>121899.44199947573</v>
      </c>
      <c r="N11" s="21">
        <f>M11*(1+Assumptions!$B$73)</f>
        <v>124337.43083946525</v>
      </c>
      <c r="O11" s="21">
        <f>N11*(1+Assumptions!$B$73)</f>
        <v>126824.17945625455</v>
      </c>
      <c r="P11" s="21">
        <f>O11*(1+Assumptions!$B$73)</f>
        <v>129360.66304537965</v>
      </c>
      <c r="Q11" s="21">
        <f>P11*(1+Assumptions!$B$73)</f>
        <v>131947.87630628725</v>
      </c>
      <c r="R11" s="21">
        <f>Q11*(1+Assumptions!$B$73)</f>
        <v>134586.83383241299</v>
      </c>
      <c r="S11" s="21">
        <f>R11*(1+Assumptions!$B$73)</f>
        <v>137278.57050906125</v>
      </c>
      <c r="T11" s="21">
        <f>S11*(1+Assumptions!$B$73)</f>
        <v>140024.14191924248</v>
      </c>
      <c r="U11" s="21">
        <f>T11*(1+Assumptions!$B$73)</f>
        <v>142824.62475762735</v>
      </c>
      <c r="V11" s="21">
        <f>U11*(1+Assumptions!$B$73)</f>
        <v>145681.11725277989</v>
      </c>
      <c r="W11" s="21">
        <f>V11*(1+Assumptions!$B$73)</f>
        <v>148594.73959783549</v>
      </c>
      <c r="X11" s="21">
        <f>W11*(1+Assumptions!$B$73)</f>
        <v>151566.63438979219</v>
      </c>
      <c r="Y11" s="21">
        <f>X11*(1+Assumptions!$B$73)</f>
        <v>154597.96707758805</v>
      </c>
      <c r="Z11" s="21">
        <f>Y11*(1+Assumptions!$B$73)</f>
        <v>157689.92641913981</v>
      </c>
      <c r="AA11" s="21">
        <f>Z11*(1+Assumptions!$B$73)</f>
        <v>160843.7249475226</v>
      </c>
      <c r="AB11" s="21">
        <f>AA11*(1+Assumptions!$B$73)</f>
        <v>164060.59944647306</v>
      </c>
      <c r="AC11" s="21">
        <f>AB11*(1+Assumptions!$B$73)</f>
        <v>167341.81143540252</v>
      </c>
      <c r="AD11" s="21">
        <f>AC11*(1+Assumptions!$B$73)</f>
        <v>170688.64766411058</v>
      </c>
      <c r="AE11" s="21">
        <f>AD11*(1+Assumptions!$B$73)</f>
        <v>174102.42061739281</v>
      </c>
      <c r="AF11" s="21">
        <f>AE11*(1+Assumptions!$B$73)</f>
        <v>177584.46902974066</v>
      </c>
    </row>
    <row r="12" spans="1:32" ht="15" customHeight="1" x14ac:dyDescent="0.2">
      <c r="A12" s="4" t="s">
        <v>177</v>
      </c>
      <c r="B12" s="4" t="s">
        <v>26</v>
      </c>
      <c r="C12" s="16">
        <f>Assumptions!B25+Assumptions!B26+Assumptions!B27+Assumptions!B28+Assumptions!B29</f>
        <v>300000</v>
      </c>
      <c r="D12" s="21">
        <f>C12*(1+Assumptions!$B$73)</f>
        <v>306000</v>
      </c>
      <c r="E12" s="21">
        <f>D12*(1+Assumptions!$B$73)</f>
        <v>312120</v>
      </c>
      <c r="F12" s="21">
        <f>E12*(1+Assumptions!$B$73)</f>
        <v>318362.40000000002</v>
      </c>
      <c r="G12" s="21">
        <f>F12*(1+Assumptions!$B$73)</f>
        <v>324729.64800000004</v>
      </c>
      <c r="H12" s="21">
        <f>G12*(1+Assumptions!$B$73)</f>
        <v>331224.24096000002</v>
      </c>
      <c r="I12" s="21">
        <f>H12*(1+Assumptions!$B$73)</f>
        <v>337848.72577920003</v>
      </c>
      <c r="J12" s="21">
        <f>I12*(1+Assumptions!$B$73)</f>
        <v>344605.70029478404</v>
      </c>
      <c r="K12" s="21">
        <f>J12*(1+Assumptions!$B$73)</f>
        <v>351497.81430067972</v>
      </c>
      <c r="L12" s="21">
        <f>K12*(1+Assumptions!$B$73)</f>
        <v>358527.77058669331</v>
      </c>
      <c r="M12" s="21">
        <f>L12*(1+Assumptions!$B$73)</f>
        <v>365698.32599842717</v>
      </c>
      <c r="N12" s="21">
        <f>M12*(1+Assumptions!$B$73)</f>
        <v>373012.2925183957</v>
      </c>
      <c r="O12" s="21">
        <f>N12*(1+Assumptions!$B$73)</f>
        <v>380472.53836876363</v>
      </c>
      <c r="P12" s="21">
        <f>O12*(1+Assumptions!$B$73)</f>
        <v>388081.98913613893</v>
      </c>
      <c r="Q12" s="21">
        <f>P12*(1+Assumptions!$B$73)</f>
        <v>395843.62891886174</v>
      </c>
      <c r="R12" s="21">
        <f>Q12*(1+Assumptions!$B$73)</f>
        <v>403760.50149723899</v>
      </c>
      <c r="S12" s="21">
        <f>R12*(1+Assumptions!$B$73)</f>
        <v>411835.71152718377</v>
      </c>
      <c r="T12" s="21">
        <f>S12*(1+Assumptions!$B$73)</f>
        <v>420072.42575772747</v>
      </c>
      <c r="U12" s="21">
        <f>T12*(1+Assumptions!$B$73)</f>
        <v>428473.87427288201</v>
      </c>
      <c r="V12" s="21">
        <f>U12*(1+Assumptions!$B$73)</f>
        <v>437043.35175833968</v>
      </c>
      <c r="W12" s="21">
        <f>V12*(1+Assumptions!$B$73)</f>
        <v>445784.2187935065</v>
      </c>
      <c r="X12" s="21">
        <f>W12*(1+Assumptions!$B$73)</f>
        <v>454699.90316937666</v>
      </c>
      <c r="Y12" s="21">
        <f>X12*(1+Assumptions!$B$73)</f>
        <v>463793.90123276418</v>
      </c>
      <c r="Z12" s="21">
        <f>Y12*(1+Assumptions!$B$73)</f>
        <v>473069.77925741946</v>
      </c>
      <c r="AA12" s="21">
        <f>Z12*(1+Assumptions!$B$73)</f>
        <v>482531.17484256788</v>
      </c>
      <c r="AB12" s="21">
        <f>AA12*(1+Assumptions!$B$73)</f>
        <v>492181.79833941924</v>
      </c>
      <c r="AC12" s="21">
        <f>AB12*(1+Assumptions!$B$73)</f>
        <v>502025.43430620764</v>
      </c>
      <c r="AD12" s="21">
        <f>AC12*(1+Assumptions!$B$73)</f>
        <v>512065.94299233181</v>
      </c>
      <c r="AE12" s="21">
        <f>AD12*(1+Assumptions!$B$73)</f>
        <v>522307.26185217843</v>
      </c>
      <c r="AF12" s="21">
        <f>AE12*(1+Assumptions!$B$73)</f>
        <v>532753.40708922199</v>
      </c>
    </row>
    <row r="13" spans="1:32" ht="15" customHeight="1" x14ac:dyDescent="0.2">
      <c r="A13" s="10" t="s">
        <v>178</v>
      </c>
      <c r="B13" s="4" t="s">
        <v>26</v>
      </c>
      <c r="C13" s="17">
        <f t="shared" ref="C13:AF13" si="1">C11+C12</f>
        <v>400000</v>
      </c>
      <c r="D13" s="17">
        <f t="shared" si="1"/>
        <v>408000</v>
      </c>
      <c r="E13" s="17">
        <f t="shared" si="1"/>
        <v>416160</v>
      </c>
      <c r="F13" s="17">
        <f t="shared" si="1"/>
        <v>424483.2</v>
      </c>
      <c r="G13" s="17">
        <f t="shared" si="1"/>
        <v>432972.86400000006</v>
      </c>
      <c r="H13" s="17">
        <f t="shared" si="1"/>
        <v>441632.32128000003</v>
      </c>
      <c r="I13" s="17">
        <f t="shared" si="1"/>
        <v>450464.96770560002</v>
      </c>
      <c r="J13" s="17">
        <f t="shared" si="1"/>
        <v>459474.26705971203</v>
      </c>
      <c r="K13" s="17">
        <f t="shared" si="1"/>
        <v>468663.75240090629</v>
      </c>
      <c r="L13" s="17">
        <f t="shared" si="1"/>
        <v>478037.02744892443</v>
      </c>
      <c r="M13" s="17">
        <f t="shared" si="1"/>
        <v>487597.76799790293</v>
      </c>
      <c r="N13" s="17">
        <f t="shared" si="1"/>
        <v>497349.72335786093</v>
      </c>
      <c r="O13" s="17">
        <f t="shared" si="1"/>
        <v>507296.71782501822</v>
      </c>
      <c r="P13" s="17">
        <f t="shared" si="1"/>
        <v>517442.65218151861</v>
      </c>
      <c r="Q13" s="17">
        <f t="shared" si="1"/>
        <v>527791.50522514898</v>
      </c>
      <c r="R13" s="17">
        <f t="shared" si="1"/>
        <v>538347.33532965195</v>
      </c>
      <c r="S13" s="17">
        <f t="shared" si="1"/>
        <v>549114.28203624499</v>
      </c>
      <c r="T13" s="17">
        <f t="shared" si="1"/>
        <v>560096.56767696992</v>
      </c>
      <c r="U13" s="17">
        <f t="shared" si="1"/>
        <v>571298.49903050938</v>
      </c>
      <c r="V13" s="17">
        <f t="shared" si="1"/>
        <v>582724.46901111957</v>
      </c>
      <c r="W13" s="17">
        <f t="shared" si="1"/>
        <v>594378.95839134196</v>
      </c>
      <c r="X13" s="17">
        <f t="shared" si="1"/>
        <v>606266.53755916888</v>
      </c>
      <c r="Y13" s="17">
        <f t="shared" si="1"/>
        <v>618391.86831035221</v>
      </c>
      <c r="Z13" s="17">
        <f t="shared" si="1"/>
        <v>630759.70567655924</v>
      </c>
      <c r="AA13" s="17">
        <f t="shared" si="1"/>
        <v>643374.89979009051</v>
      </c>
      <c r="AB13" s="17">
        <f t="shared" si="1"/>
        <v>656242.39778589224</v>
      </c>
      <c r="AC13" s="17">
        <f t="shared" si="1"/>
        <v>669367.24574161018</v>
      </c>
      <c r="AD13" s="17">
        <f t="shared" si="1"/>
        <v>682754.59065644233</v>
      </c>
      <c r="AE13" s="17">
        <f t="shared" si="1"/>
        <v>696409.68246957124</v>
      </c>
      <c r="AF13" s="17">
        <f t="shared" si="1"/>
        <v>710337.87611896265</v>
      </c>
    </row>
    <row r="15" spans="1:32" ht="15" customHeight="1" x14ac:dyDescent="0.2">
      <c r="A15" s="10" t="s">
        <v>179</v>
      </c>
      <c r="B15" s="4" t="s">
        <v>26</v>
      </c>
      <c r="C15" s="28">
        <f t="shared" ref="C15:AF15" si="2">C8-C13</f>
        <v>517888</v>
      </c>
      <c r="D15" s="28">
        <f t="shared" si="2"/>
        <v>525317.97880000004</v>
      </c>
      <c r="E15" s="28">
        <f t="shared" si="2"/>
        <v>532901.58454612002</v>
      </c>
      <c r="F15" s="28">
        <f t="shared" si="2"/>
        <v>540642.64630354731</v>
      </c>
      <c r="G15" s="28">
        <f t="shared" si="2"/>
        <v>548545.10532917152</v>
      </c>
      <c r="H15" s="28">
        <f t="shared" si="2"/>
        <v>556613.01855671196</v>
      </c>
      <c r="I15" s="28">
        <f t="shared" si="2"/>
        <v>564850.56219145679</v>
      </c>
      <c r="J15" s="28">
        <f t="shared" si="2"/>
        <v>573262.03541805153</v>
      </c>
      <c r="K15" s="28">
        <f t="shared" si="2"/>
        <v>581851.8642248658</v>
      </c>
      <c r="L15" s="28">
        <f t="shared" si="2"/>
        <v>590624.60534858424</v>
      </c>
      <c r="M15" s="28">
        <f t="shared" si="2"/>
        <v>599584.95034278359</v>
      </c>
      <c r="N15" s="28">
        <f t="shared" si="2"/>
        <v>608737.72977436357</v>
      </c>
      <c r="O15" s="28">
        <f t="shared" si="2"/>
        <v>618087.91755183169</v>
      </c>
      <c r="P15" s="28">
        <f t="shared" si="2"/>
        <v>627640.63538955559</v>
      </c>
      <c r="Q15" s="28">
        <f t="shared" si="2"/>
        <v>637401.15741223004</v>
      </c>
      <c r="R15" s="28">
        <f t="shared" si="2"/>
        <v>647374.91490393493</v>
      </c>
      <c r="S15" s="28">
        <f t="shared" si="2"/>
        <v>657567.50120629661</v>
      </c>
      <c r="T15" s="28">
        <f t="shared" si="2"/>
        <v>667984.67677039991</v>
      </c>
      <c r="U15" s="28">
        <f t="shared" si="2"/>
        <v>678632.37436725444</v>
      </c>
      <c r="V15" s="28">
        <f t="shared" si="2"/>
        <v>689516.70446174825</v>
      </c>
      <c r="W15" s="28">
        <f t="shared" si="2"/>
        <v>700643.96075519256</v>
      </c>
      <c r="X15" s="28">
        <f t="shared" si="2"/>
        <v>712020.62590170978</v>
      </c>
      <c r="Y15" s="28">
        <f t="shared" si="2"/>
        <v>723653.37740387546</v>
      </c>
      <c r="Z15" s="28">
        <f t="shared" si="2"/>
        <v>735549.09369320411</v>
      </c>
      <c r="AA15" s="28">
        <f t="shared" si="2"/>
        <v>747714.86040123133</v>
      </c>
      <c r="AB15" s="28">
        <f t="shared" si="2"/>
        <v>760157.9768271225</v>
      </c>
      <c r="AC15" s="28">
        <f t="shared" si="2"/>
        <v>772885.96260792762</v>
      </c>
      <c r="AD15" s="28">
        <f t="shared" si="2"/>
        <v>785906.56459778757</v>
      </c>
      <c r="AE15" s="28">
        <f t="shared" si="2"/>
        <v>799227.76396258641</v>
      </c>
      <c r="AF15" s="28">
        <f t="shared" si="2"/>
        <v>812857.78349675308</v>
      </c>
    </row>
    <row r="16" spans="1:32" ht="15" customHeight="1" x14ac:dyDescent="0.2">
      <c r="A16" s="4" t="s">
        <v>180</v>
      </c>
      <c r="B16" s="4" t="s">
        <v>26</v>
      </c>
      <c r="C16" s="16">
        <f>IF(1&lt;=Assumptions!$B$36,'Financing Plan'!$B$16,0)</f>
        <v>299456.00599425973</v>
      </c>
      <c r="D16" s="16">
        <f>IF(2&lt;=Assumptions!$B$36,'Financing Plan'!$B$16,0)</f>
        <v>299456.00599425973</v>
      </c>
      <c r="E16" s="16">
        <f>IF(3&lt;=Assumptions!$B$36,'Financing Plan'!$B$16,0)</f>
        <v>299456.00599425973</v>
      </c>
      <c r="F16" s="16">
        <f>IF(4&lt;=Assumptions!$B$36,'Financing Plan'!$B$16,0)</f>
        <v>299456.00599425973</v>
      </c>
      <c r="G16" s="16">
        <f>IF(5&lt;=Assumptions!$B$36,'Financing Plan'!$B$16,0)</f>
        <v>299456.00599425973</v>
      </c>
      <c r="H16" s="16">
        <f>IF(6&lt;=Assumptions!$B$36,'Financing Plan'!$B$16,0)</f>
        <v>299456.00599425973</v>
      </c>
      <c r="I16" s="16">
        <f>IF(7&lt;=Assumptions!$B$36,'Financing Plan'!$B$16,0)</f>
        <v>299456.00599425973</v>
      </c>
      <c r="J16" s="16">
        <f>IF(8&lt;=Assumptions!$B$36,'Financing Plan'!$B$16,0)</f>
        <v>299456.00599425973</v>
      </c>
      <c r="K16" s="16">
        <f>IF(9&lt;=Assumptions!$B$36,'Financing Plan'!$B$16,0)</f>
        <v>299456.00599425973</v>
      </c>
      <c r="L16" s="16">
        <f>IF(10&lt;=Assumptions!$B$36,'Financing Plan'!$B$16,0)</f>
        <v>299456.00599425973</v>
      </c>
      <c r="M16" s="16">
        <f>IF(11&lt;=Assumptions!$B$36,'Financing Plan'!$B$16,0)</f>
        <v>299456.00599425973</v>
      </c>
      <c r="N16" s="16">
        <f>IF(12&lt;=Assumptions!$B$36,'Financing Plan'!$B$16,0)</f>
        <v>299456.00599425973</v>
      </c>
      <c r="O16" s="16">
        <f>IF(13&lt;=Assumptions!$B$36,'Financing Plan'!$B$16,0)</f>
        <v>299456.00599425973</v>
      </c>
      <c r="P16" s="16">
        <f>IF(14&lt;=Assumptions!$B$36,'Financing Plan'!$B$16,0)</f>
        <v>299456.00599425973</v>
      </c>
      <c r="Q16" s="16">
        <f>IF(15&lt;=Assumptions!$B$36,'Financing Plan'!$B$16,0)</f>
        <v>299456.00599425973</v>
      </c>
      <c r="R16" s="16">
        <f>IF(16&lt;=Assumptions!$B$36,'Financing Plan'!$B$16,0)</f>
        <v>0</v>
      </c>
      <c r="S16" s="16">
        <f>IF(17&lt;=Assumptions!$B$36,'Financing Plan'!$B$16,0)</f>
        <v>0</v>
      </c>
      <c r="T16" s="16">
        <f>IF(18&lt;=Assumptions!$B$36,'Financing Plan'!$B$16,0)</f>
        <v>0</v>
      </c>
      <c r="U16" s="16">
        <f>IF(19&lt;=Assumptions!$B$36,'Financing Plan'!$B$16,0)</f>
        <v>0</v>
      </c>
      <c r="V16" s="16">
        <f>IF(20&lt;=Assumptions!$B$36,'Financing Plan'!$B$16,0)</f>
        <v>0</v>
      </c>
      <c r="W16" s="16">
        <f>IF(21&lt;=Assumptions!$B$36,'Financing Plan'!$B$16,0)</f>
        <v>0</v>
      </c>
      <c r="X16" s="16">
        <f>IF(22&lt;=Assumptions!$B$36,'Financing Plan'!$B$16,0)</f>
        <v>0</v>
      </c>
      <c r="Y16" s="16">
        <f>IF(23&lt;=Assumptions!$B$36,'Financing Plan'!$B$16,0)</f>
        <v>0</v>
      </c>
      <c r="Z16" s="16">
        <f>IF(24&lt;=Assumptions!$B$36,'Financing Plan'!$B$16,0)</f>
        <v>0</v>
      </c>
      <c r="AA16" s="16">
        <f>IF(25&lt;=Assumptions!$B$36,'Financing Plan'!$B$16,0)</f>
        <v>0</v>
      </c>
      <c r="AB16" s="16">
        <f>IF(26&lt;=Assumptions!$B$36,'Financing Plan'!$B$16,0)</f>
        <v>0</v>
      </c>
      <c r="AC16" s="16">
        <f>IF(27&lt;=Assumptions!$B$36,'Financing Plan'!$B$16,0)</f>
        <v>0</v>
      </c>
      <c r="AD16" s="16">
        <f>IF(28&lt;=Assumptions!$B$36,'Financing Plan'!$B$16,0)</f>
        <v>0</v>
      </c>
      <c r="AE16" s="16">
        <f>IF(29&lt;=Assumptions!$B$36,'Financing Plan'!$B$16,0)</f>
        <v>0</v>
      </c>
      <c r="AF16" s="16">
        <f>IF(30&lt;=Assumptions!$B$36,'Financing Plan'!$B$16,0)</f>
        <v>0</v>
      </c>
    </row>
    <row r="17" spans="1:32" ht="15" customHeight="1" x14ac:dyDescent="0.2">
      <c r="A17" s="10" t="s">
        <v>181</v>
      </c>
      <c r="B17" s="4" t="s">
        <v>26</v>
      </c>
      <c r="C17" s="29">
        <f t="shared" ref="C17:AF17" si="3">C15-C16</f>
        <v>218431.99400574027</v>
      </c>
      <c r="D17" s="29">
        <f t="shared" si="3"/>
        <v>225861.97280574031</v>
      </c>
      <c r="E17" s="29">
        <f t="shared" si="3"/>
        <v>233445.57855186029</v>
      </c>
      <c r="F17" s="29">
        <f t="shared" si="3"/>
        <v>241186.64030928758</v>
      </c>
      <c r="G17" s="29">
        <f t="shared" si="3"/>
        <v>249089.09933491179</v>
      </c>
      <c r="H17" s="29">
        <f t="shared" si="3"/>
        <v>257157.01256245223</v>
      </c>
      <c r="I17" s="29">
        <f t="shared" si="3"/>
        <v>265394.55619719706</v>
      </c>
      <c r="J17" s="29">
        <f t="shared" si="3"/>
        <v>273806.0294237918</v>
      </c>
      <c r="K17" s="29">
        <f t="shared" si="3"/>
        <v>282395.85823060607</v>
      </c>
      <c r="L17" s="29">
        <f t="shared" si="3"/>
        <v>291168.59935432451</v>
      </c>
      <c r="M17" s="29">
        <f t="shared" si="3"/>
        <v>300128.94434852386</v>
      </c>
      <c r="N17" s="29">
        <f t="shared" si="3"/>
        <v>309281.72378010384</v>
      </c>
      <c r="O17" s="29">
        <f t="shared" si="3"/>
        <v>318631.91155757196</v>
      </c>
      <c r="P17" s="29">
        <f t="shared" si="3"/>
        <v>328184.62939529587</v>
      </c>
      <c r="Q17" s="29">
        <f t="shared" si="3"/>
        <v>337945.15141797031</v>
      </c>
      <c r="R17" s="29">
        <f t="shared" si="3"/>
        <v>647374.91490393493</v>
      </c>
      <c r="S17" s="29">
        <f t="shared" si="3"/>
        <v>657567.50120629661</v>
      </c>
      <c r="T17" s="29">
        <f t="shared" si="3"/>
        <v>667984.67677039991</v>
      </c>
      <c r="U17" s="29">
        <f t="shared" si="3"/>
        <v>678632.37436725444</v>
      </c>
      <c r="V17" s="29">
        <f t="shared" si="3"/>
        <v>689516.70446174825</v>
      </c>
      <c r="W17" s="29">
        <f t="shared" si="3"/>
        <v>700643.96075519256</v>
      </c>
      <c r="X17" s="29">
        <f t="shared" si="3"/>
        <v>712020.62590170978</v>
      </c>
      <c r="Y17" s="29">
        <f t="shared" si="3"/>
        <v>723653.37740387546</v>
      </c>
      <c r="Z17" s="29">
        <f t="shared" si="3"/>
        <v>735549.09369320411</v>
      </c>
      <c r="AA17" s="29">
        <f t="shared" si="3"/>
        <v>747714.86040123133</v>
      </c>
      <c r="AB17" s="29">
        <f t="shared" si="3"/>
        <v>760157.9768271225</v>
      </c>
      <c r="AC17" s="29">
        <f t="shared" si="3"/>
        <v>772885.96260792762</v>
      </c>
      <c r="AD17" s="29">
        <f t="shared" si="3"/>
        <v>785906.56459778757</v>
      </c>
      <c r="AE17" s="29">
        <f t="shared" si="3"/>
        <v>799227.76396258641</v>
      </c>
      <c r="AF17" s="29">
        <f t="shared" si="3"/>
        <v>812857.78349675308</v>
      </c>
    </row>
    <row r="19" spans="1:32" ht="15" customHeight="1" x14ac:dyDescent="0.2">
      <c r="J19" s="10" t="s">
        <v>182</v>
      </c>
    </row>
    <row r="20" spans="1:32" ht="15" customHeight="1" x14ac:dyDescent="0.2">
      <c r="A20" s="4" t="s">
        <v>183</v>
      </c>
      <c r="B20" s="4" t="s">
        <v>26</v>
      </c>
      <c r="C20" s="30">
        <f>-'Financing Plan'!B11</f>
        <v>-1275000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</row>
    <row r="21" spans="1:32" ht="15" customHeight="1" x14ac:dyDescent="0.2">
      <c r="A21" s="4" t="s">
        <v>184</v>
      </c>
      <c r="B21" s="4" t="s">
        <v>26</v>
      </c>
      <c r="C21" s="24">
        <f t="shared" ref="C21:AF21" si="4">C17</f>
        <v>218431.99400574027</v>
      </c>
      <c r="D21" s="24">
        <f t="shared" si="4"/>
        <v>225861.97280574031</v>
      </c>
      <c r="E21" s="24">
        <f t="shared" si="4"/>
        <v>233445.57855186029</v>
      </c>
      <c r="F21" s="24">
        <f t="shared" si="4"/>
        <v>241186.64030928758</v>
      </c>
      <c r="G21" s="24">
        <f t="shared" si="4"/>
        <v>249089.09933491179</v>
      </c>
      <c r="H21" s="24">
        <f t="shared" si="4"/>
        <v>257157.01256245223</v>
      </c>
      <c r="I21" s="24">
        <f t="shared" si="4"/>
        <v>265394.55619719706</v>
      </c>
      <c r="J21" s="24">
        <f t="shared" si="4"/>
        <v>273806.0294237918</v>
      </c>
      <c r="K21" s="24">
        <f t="shared" si="4"/>
        <v>282395.85823060607</v>
      </c>
      <c r="L21" s="24">
        <f t="shared" si="4"/>
        <v>291168.59935432451</v>
      </c>
      <c r="M21" s="24">
        <f t="shared" si="4"/>
        <v>300128.94434852386</v>
      </c>
      <c r="N21" s="24">
        <f t="shared" si="4"/>
        <v>309281.72378010384</v>
      </c>
      <c r="O21" s="24">
        <f t="shared" si="4"/>
        <v>318631.91155757196</v>
      </c>
      <c r="P21" s="24">
        <f t="shared" si="4"/>
        <v>328184.62939529587</v>
      </c>
      <c r="Q21" s="24">
        <f t="shared" si="4"/>
        <v>337945.15141797031</v>
      </c>
      <c r="R21" s="24">
        <f t="shared" si="4"/>
        <v>647374.91490393493</v>
      </c>
      <c r="S21" s="24">
        <f t="shared" si="4"/>
        <v>657567.50120629661</v>
      </c>
      <c r="T21" s="24">
        <f t="shared" si="4"/>
        <v>667984.67677039991</v>
      </c>
      <c r="U21" s="24">
        <f t="shared" si="4"/>
        <v>678632.37436725444</v>
      </c>
      <c r="V21" s="24">
        <f t="shared" si="4"/>
        <v>689516.70446174825</v>
      </c>
      <c r="W21" s="24">
        <f t="shared" si="4"/>
        <v>700643.96075519256</v>
      </c>
      <c r="X21" s="24">
        <f t="shared" si="4"/>
        <v>712020.62590170978</v>
      </c>
      <c r="Y21" s="24">
        <f t="shared" si="4"/>
        <v>723653.37740387546</v>
      </c>
      <c r="Z21" s="24">
        <f t="shared" si="4"/>
        <v>735549.09369320411</v>
      </c>
      <c r="AA21" s="24">
        <f t="shared" si="4"/>
        <v>747714.86040123133</v>
      </c>
      <c r="AB21" s="24">
        <f t="shared" si="4"/>
        <v>760157.9768271225</v>
      </c>
      <c r="AC21" s="24">
        <f t="shared" si="4"/>
        <v>772885.96260792762</v>
      </c>
      <c r="AD21" s="24">
        <f t="shared" si="4"/>
        <v>785906.56459778757</v>
      </c>
      <c r="AE21" s="24">
        <f t="shared" si="4"/>
        <v>799227.76396258641</v>
      </c>
      <c r="AF21" s="24">
        <f t="shared" si="4"/>
        <v>812857.78349675308</v>
      </c>
    </row>
    <row r="22" spans="1:32" ht="15" customHeight="1" x14ac:dyDescent="0.2">
      <c r="A22" s="10" t="s">
        <v>185</v>
      </c>
      <c r="B22" s="4" t="s">
        <v>26</v>
      </c>
      <c r="C22" s="31">
        <f>C20+C21</f>
        <v>-1056568.0059942598</v>
      </c>
      <c r="D22" s="31">
        <f t="shared" ref="D22:AF22" si="5">C22+D21</f>
        <v>-830706.03318851953</v>
      </c>
      <c r="E22" s="31">
        <f t="shared" si="5"/>
        <v>-597260.45463665924</v>
      </c>
      <c r="F22" s="31">
        <f t="shared" si="5"/>
        <v>-356073.81432737166</v>
      </c>
      <c r="G22" s="31">
        <f t="shared" si="5"/>
        <v>-106984.71499245986</v>
      </c>
      <c r="H22" s="31">
        <f t="shared" si="5"/>
        <v>150172.29756999237</v>
      </c>
      <c r="I22" s="31">
        <f t="shared" si="5"/>
        <v>415566.85376718943</v>
      </c>
      <c r="J22" s="31">
        <f t="shared" si="5"/>
        <v>689372.88319098123</v>
      </c>
      <c r="K22" s="31">
        <f t="shared" si="5"/>
        <v>971768.7414215873</v>
      </c>
      <c r="L22" s="31">
        <f t="shared" si="5"/>
        <v>1262937.3407759117</v>
      </c>
      <c r="M22" s="31">
        <f t="shared" si="5"/>
        <v>1563066.2851244356</v>
      </c>
      <c r="N22" s="31">
        <f t="shared" si="5"/>
        <v>1872348.0089045395</v>
      </c>
      <c r="O22" s="31">
        <f t="shared" si="5"/>
        <v>2190979.9204621115</v>
      </c>
      <c r="P22" s="31">
        <f t="shared" si="5"/>
        <v>2519164.5498574073</v>
      </c>
      <c r="Q22" s="31">
        <f t="shared" si="5"/>
        <v>2857109.7012753775</v>
      </c>
      <c r="R22" s="31">
        <f t="shared" si="5"/>
        <v>3504484.6161793126</v>
      </c>
      <c r="S22" s="31">
        <f t="shared" si="5"/>
        <v>4162052.1173856091</v>
      </c>
      <c r="T22" s="31">
        <f t="shared" si="5"/>
        <v>4830036.7941560093</v>
      </c>
      <c r="U22" s="31">
        <f t="shared" si="5"/>
        <v>5508669.1685232641</v>
      </c>
      <c r="V22" s="31">
        <f t="shared" si="5"/>
        <v>6198185.8729850128</v>
      </c>
      <c r="W22" s="31">
        <f t="shared" si="5"/>
        <v>6898829.8337402055</v>
      </c>
      <c r="X22" s="31">
        <f t="shared" si="5"/>
        <v>7610850.4596419148</v>
      </c>
      <c r="Y22" s="31">
        <f t="shared" si="5"/>
        <v>8334503.8370457906</v>
      </c>
      <c r="Z22" s="31">
        <f t="shared" si="5"/>
        <v>9070052.9307389949</v>
      </c>
      <c r="AA22" s="31">
        <f t="shared" si="5"/>
        <v>9817767.7911402266</v>
      </c>
      <c r="AB22" s="31">
        <f t="shared" si="5"/>
        <v>10577925.767967349</v>
      </c>
      <c r="AC22" s="31">
        <f t="shared" si="5"/>
        <v>11350811.730575277</v>
      </c>
      <c r="AD22" s="31">
        <f t="shared" si="5"/>
        <v>12136718.295173064</v>
      </c>
      <c r="AE22" s="31">
        <f t="shared" si="5"/>
        <v>12935946.059135649</v>
      </c>
      <c r="AF22" s="31">
        <f t="shared" si="5"/>
        <v>13748803.842632402</v>
      </c>
    </row>
    <row r="23" spans="1:32" ht="15" customHeight="1" x14ac:dyDescent="0.2">
      <c r="A23" s="4" t="s">
        <v>186</v>
      </c>
      <c r="B23" s="4" t="s">
        <v>187</v>
      </c>
      <c r="C23" s="14">
        <f t="shared" ref="C23:AF23" si="6">IF(C8=0,0,C15/C8)</f>
        <v>0.56421698507878959</v>
      </c>
      <c r="D23" s="14">
        <f t="shared" si="6"/>
        <v>0.56284995117678971</v>
      </c>
      <c r="E23" s="14">
        <f t="shared" si="6"/>
        <v>0.56150369293577018</v>
      </c>
      <c r="F23" s="14">
        <f t="shared" si="6"/>
        <v>0.56017839370297695</v>
      </c>
      <c r="G23" s="14">
        <f t="shared" si="6"/>
        <v>0.55887423610194342</v>
      </c>
      <c r="H23" s="14">
        <f t="shared" si="6"/>
        <v>0.55759140197715318</v>
      </c>
      <c r="I23" s="14">
        <f t="shared" si="6"/>
        <v>0.55633007233596354</v>
      </c>
      <c r="J23" s="14">
        <f t="shared" si="6"/>
        <v>0.55509042728784552</v>
      </c>
      <c r="K23" s="14">
        <f t="shared" si="6"/>
        <v>0.55387264598098818</v>
      </c>
      <c r="L23" s="14">
        <f t="shared" si="6"/>
        <v>0.55267690653632406</v>
      </c>
      <c r="M23" s="14">
        <f t="shared" si="6"/>
        <v>0.55150338597903814</v>
      </c>
      <c r="N23" s="14">
        <f t="shared" si="6"/>
        <v>0.55035226016761762</v>
      </c>
      <c r="O23" s="14">
        <f t="shared" si="6"/>
        <v>0.54922370372051221</v>
      </c>
      <c r="P23" s="14">
        <f t="shared" si="6"/>
        <v>0.54811788994047173</v>
      </c>
      <c r="Q23" s="14">
        <f t="shared" si="6"/>
        <v>0.54703499073663187</v>
      </c>
      <c r="R23" s="14">
        <f t="shared" si="6"/>
        <v>0.54597517654442451</v>
      </c>
      <c r="S23" s="14">
        <f t="shared" si="6"/>
        <v>0.5449386162433898</v>
      </c>
      <c r="T23" s="14">
        <f t="shared" si="6"/>
        <v>0.54392547707296801</v>
      </c>
      <c r="U23" s="14">
        <f t="shared" si="6"/>
        <v>0.54293592454636019</v>
      </c>
      <c r="V23" s="14">
        <f t="shared" si="6"/>
        <v>0.54197012236253728</v>
      </c>
      <c r="W23" s="14">
        <f t="shared" si="6"/>
        <v>0.54102823231649178</v>
      </c>
      <c r="X23" s="14">
        <f t="shared" si="6"/>
        <v>0.54011041420782191</v>
      </c>
      <c r="Y23" s="14">
        <f t="shared" si="6"/>
        <v>0.53921682574774288</v>
      </c>
      <c r="Z23" s="14">
        <f t="shared" si="6"/>
        <v>0.53834762246462187</v>
      </c>
      <c r="AA23" s="14">
        <f t="shared" si="6"/>
        <v>0.53750295760813827</v>
      </c>
      <c r="AB23" s="14">
        <f t="shared" si="6"/>
        <v>0.53668298205216936</v>
      </c>
      <c r="AC23" s="14">
        <f t="shared" si="6"/>
        <v>0.5358878441965057</v>
      </c>
      <c r="AD23" s="14">
        <f t="shared" si="6"/>
        <v>0.53511768986750696</v>
      </c>
      <c r="AE23" s="14">
        <f t="shared" si="6"/>
        <v>0.53437266221780144</v>
      </c>
      <c r="AF23" s="14">
        <f t="shared" si="6"/>
        <v>0.53365290162514478</v>
      </c>
    </row>
    <row r="24" spans="1:32" ht="15" customHeight="1" x14ac:dyDescent="0.2">
      <c r="A24" s="4" t="s">
        <v>188</v>
      </c>
      <c r="B24" s="4" t="s">
        <v>189</v>
      </c>
      <c r="C24" s="32">
        <f t="shared" ref="C24:AF24" si="7">IF(C16=0,0,C15/C16)</f>
        <v>1.7294293306307151</v>
      </c>
      <c r="D24" s="32">
        <f t="shared" si="7"/>
        <v>1.7542409178130489</v>
      </c>
      <c r="E24" s="32">
        <f t="shared" si="7"/>
        <v>1.7795655250819555</v>
      </c>
      <c r="F24" s="32">
        <f t="shared" si="7"/>
        <v>1.8054159391744204</v>
      </c>
      <c r="G24" s="32">
        <f t="shared" si="7"/>
        <v>1.831805321479131</v>
      </c>
      <c r="H24" s="32">
        <f t="shared" si="7"/>
        <v>1.8587472196746713</v>
      </c>
      <c r="I24" s="32">
        <f t="shared" si="7"/>
        <v>1.8862555797337537</v>
      </c>
      <c r="J24" s="32">
        <f t="shared" si="7"/>
        <v>1.9143447583049658</v>
      </c>
      <c r="K24" s="32">
        <f t="shared" si="7"/>
        <v>1.9430295354838176</v>
      </c>
      <c r="L24" s="32">
        <f t="shared" si="7"/>
        <v>1.9723251279852638</v>
      </c>
      <c r="M24" s="32">
        <f t="shared" si="7"/>
        <v>2.0022472027302638</v>
      </c>
      <c r="N24" s="32">
        <f t="shared" si="7"/>
        <v>2.0328118908592954</v>
      </c>
      <c r="O24" s="32">
        <f t="shared" si="7"/>
        <v>2.0640358021861811</v>
      </c>
      <c r="P24" s="32">
        <f t="shared" si="7"/>
        <v>2.0959360401059608</v>
      </c>
      <c r="Q24" s="32">
        <f t="shared" si="7"/>
        <v>2.1285302169709976</v>
      </c>
      <c r="R24" s="32">
        <f t="shared" si="7"/>
        <v>0</v>
      </c>
      <c r="S24" s="32">
        <f t="shared" si="7"/>
        <v>0</v>
      </c>
      <c r="T24" s="32">
        <f t="shared" si="7"/>
        <v>0</v>
      </c>
      <c r="U24" s="32">
        <f t="shared" si="7"/>
        <v>0</v>
      </c>
      <c r="V24" s="32">
        <f t="shared" si="7"/>
        <v>0</v>
      </c>
      <c r="W24" s="32">
        <f t="shared" si="7"/>
        <v>0</v>
      </c>
      <c r="X24" s="32">
        <f t="shared" si="7"/>
        <v>0</v>
      </c>
      <c r="Y24" s="32">
        <f t="shared" si="7"/>
        <v>0</v>
      </c>
      <c r="Z24" s="32">
        <f t="shared" si="7"/>
        <v>0</v>
      </c>
      <c r="AA24" s="32">
        <f t="shared" si="7"/>
        <v>0</v>
      </c>
      <c r="AB24" s="32">
        <f t="shared" si="7"/>
        <v>0</v>
      </c>
      <c r="AC24" s="32">
        <f t="shared" si="7"/>
        <v>0</v>
      </c>
      <c r="AD24" s="32">
        <f t="shared" si="7"/>
        <v>0</v>
      </c>
      <c r="AE24" s="32">
        <f t="shared" si="7"/>
        <v>0</v>
      </c>
      <c r="AF24" s="32">
        <f t="shared" si="7"/>
        <v>0</v>
      </c>
    </row>
    <row r="25" spans="1:32" ht="15" customHeight="1" x14ac:dyDescent="0.2">
      <c r="A25" s="4" t="s">
        <v>190</v>
      </c>
      <c r="B25" s="4" t="s">
        <v>187</v>
      </c>
      <c r="C25" s="14">
        <f t="shared" ref="C25:AF25" si="8">IF(C8=0,0,C6/C8)</f>
        <v>0.19065506902802956</v>
      </c>
      <c r="D25" s="14">
        <f t="shared" si="8"/>
        <v>0.19312817720682271</v>
      </c>
      <c r="E25" s="14">
        <f t="shared" si="8"/>
        <v>0.19562218408491266</v>
      </c>
      <c r="F25" s="14">
        <f t="shared" si="8"/>
        <v>0.19813708826927015</v>
      </c>
      <c r="G25" s="14">
        <f t="shared" si="8"/>
        <v>0.20067288414965756</v>
      </c>
      <c r="H25" s="14">
        <f t="shared" si="8"/>
        <v>0.20322956181862561</v>
      </c>
      <c r="I25" s="14">
        <f t="shared" si="8"/>
        <v>0.20580710699240606</v>
      </c>
      <c r="J25" s="14">
        <f t="shared" si="8"/>
        <v>0.20840550093278673</v>
      </c>
      <c r="K25" s="14">
        <f t="shared" si="8"/>
        <v>0.21102472037005826</v>
      </c>
      <c r="L25" s="14">
        <f t="shared" si="8"/>
        <v>0.21366473742712078</v>
      </c>
      <c r="M25" s="14">
        <f t="shared" si="8"/>
        <v>0.21632551954484086</v>
      </c>
      <c r="N25" s="14">
        <f t="shared" si="8"/>
        <v>0.21900702940874961</v>
      </c>
      <c r="O25" s="14">
        <f t="shared" si="8"/>
        <v>0.22170922487717304</v>
      </c>
      <c r="P25" s="14">
        <f t="shared" si="8"/>
        <v>0.22443205891088733</v>
      </c>
      <c r="Q25" s="14">
        <f t="shared" si="8"/>
        <v>0.22717547950439093</v>
      </c>
      <c r="R25" s="14">
        <f t="shared" si="8"/>
        <v>0.2299394296188868</v>
      </c>
      <c r="S25" s="14">
        <f t="shared" si="8"/>
        <v>0.23272384711706776</v>
      </c>
      <c r="T25" s="14">
        <f t="shared" si="8"/>
        <v>0.23552866469979911</v>
      </c>
      <c r="U25" s="14">
        <f t="shared" si="8"/>
        <v>0.23835380984479035</v>
      </c>
      <c r="V25" s="14">
        <f t="shared" si="8"/>
        <v>0.24119920474735138</v>
      </c>
      <c r="W25" s="14">
        <f t="shared" si="8"/>
        <v>0.24406476626332488</v>
      </c>
      <c r="X25" s="14">
        <f t="shared" si="8"/>
        <v>0.24695040585428799</v>
      </c>
      <c r="Y25" s="14">
        <f t="shared" si="8"/>
        <v>0.24985602953511662</v>
      </c>
      <c r="Z25" s="14">
        <f t="shared" si="8"/>
        <v>0.25278153782400309</v>
      </c>
      <c r="AA25" s="14">
        <f t="shared" si="8"/>
        <v>0.25572682569501815</v>
      </c>
      <c r="AB25" s="14">
        <f t="shared" si="8"/>
        <v>0.25869178253330932</v>
      </c>
      <c r="AC25" s="14">
        <f t="shared" si="8"/>
        <v>0.26167629209302257</v>
      </c>
      <c r="AD25" s="14">
        <f t="shared" si="8"/>
        <v>0.26468023245803635</v>
      </c>
      <c r="AE25" s="14">
        <f t="shared" si="8"/>
        <v>0.26770347600559541</v>
      </c>
      <c r="AF25" s="14">
        <f t="shared" si="8"/>
        <v>0.27074588937292871</v>
      </c>
    </row>
    <row r="27" spans="1:32" ht="15" customHeight="1" x14ac:dyDescent="0.2">
      <c r="A27" s="10"/>
      <c r="H27" s="35" t="s">
        <v>191</v>
      </c>
      <c r="R27" s="35" t="s">
        <v>192</v>
      </c>
    </row>
    <row r="28" spans="1:32" x14ac:dyDescent="0.2">
      <c r="A28" s="3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Financing Plan</vt:lpstr>
      <vt:lpstr>Break-Even</vt:lpstr>
      <vt:lpstr>Pro Forma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ac5699</cp:lastModifiedBy>
  <cp:revision>0</cp:revision>
  <dcterms:created xsi:type="dcterms:W3CDTF">2026-04-10T16:58:29Z</dcterms:created>
  <dcterms:modified xsi:type="dcterms:W3CDTF">2026-04-22T20:31:03Z</dcterms:modified>
  <dc:language>en-US</dc:language>
</cp:coreProperties>
</file>